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F:\Dashboard Orthin\"/>
    </mc:Choice>
  </mc:AlternateContent>
  <xr:revisionPtr revIDLastSave="0" documentId="13_ncr:1_{1D0E3636-6F1A-4A13-87FD-A8172C4FF3F4}" xr6:coauthVersionLast="47" xr6:coauthVersionMax="47" xr10:uidLastSave="{00000000-0000-0000-0000-000000000000}"/>
  <bookViews>
    <workbookView showHorizontalScroll="0" showVerticalScroll="0" showSheetTabs="0" xWindow="-120" yWindow="-120" windowWidth="20730" windowHeight="11160" xr2:uid="{CA83BB8D-AC3D-49FF-A1B1-4FCDA78048A7}"/>
  </bookViews>
  <sheets>
    <sheet name="Dashboard" sheetId="1" r:id="rId1"/>
    <sheet name="Tablas" sheetId="2" r:id="rId2"/>
    <sheet name="Datos" sheetId="4" r:id="rId3"/>
  </sheets>
  <definedNames>
    <definedName name="_xlnm._FilterDatabase" localSheetId="2" hidden="1">Datos!$B$2:$G$512</definedName>
    <definedName name="_xlchart.v5.0" hidden="1">Tablas!$P$43</definedName>
    <definedName name="_xlchart.v5.1" hidden="1">Tablas!$P$44</definedName>
    <definedName name="_xlchart.v5.2" hidden="1">Tablas!$Q$27</definedName>
    <definedName name="_xlchart.v5.3" hidden="1">Tablas!$V$1</definedName>
    <definedName name="SegmentaciónDeDatos_C_de_PROCESO">#N/A</definedName>
    <definedName name="SegmentaciónDeDatos_TIPO_DE_VENTA">#N/A</definedName>
  </definedNames>
  <calcPr calcId="191029"/>
  <pivotCaches>
    <pivotCache cacheId="102" r:id="rId4"/>
    <pivotCache cacheId="107" r:id="rId5"/>
    <pivotCache cacheId="11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2" l="1"/>
  <c r="B2" i="2"/>
  <c r="P24" i="2"/>
  <c r="P23" i="2"/>
  <c r="P10" i="2" s="1"/>
  <c r="P22" i="2"/>
  <c r="P21" i="2"/>
  <c r="P20" i="2"/>
  <c r="P19" i="2"/>
  <c r="P18" i="2"/>
  <c r="P17" i="2"/>
  <c r="P16" i="2"/>
  <c r="P15" i="2"/>
  <c r="G342" i="4" l="1"/>
  <c r="G341" i="4"/>
  <c r="G340" i="4"/>
  <c r="G339" i="4"/>
  <c r="G338" i="4"/>
  <c r="G337" i="4"/>
  <c r="G336" i="4"/>
  <c r="G335" i="4"/>
  <c r="G334" i="4"/>
  <c r="G333" i="4"/>
  <c r="G332" i="4"/>
  <c r="G331" i="4"/>
  <c r="G330" i="4"/>
  <c r="G329" i="4"/>
  <c r="G328" i="4"/>
  <c r="G327" i="4"/>
  <c r="G326" i="4"/>
  <c r="G189" i="4"/>
  <c r="G188" i="4"/>
  <c r="G187" i="4"/>
  <c r="G186" i="4"/>
  <c r="G185" i="4"/>
  <c r="G184" i="4"/>
  <c r="G183" i="4"/>
  <c r="G182" i="4"/>
  <c r="G181" i="4"/>
  <c r="G180" i="4"/>
  <c r="G179" i="4"/>
  <c r="G178" i="4"/>
  <c r="G177" i="4"/>
  <c r="G176" i="4"/>
  <c r="G175" i="4"/>
  <c r="G174" i="4"/>
  <c r="G173" i="4"/>
  <c r="G36" i="4"/>
  <c r="G35" i="4"/>
  <c r="G34" i="4"/>
  <c r="G33" i="4"/>
  <c r="G32" i="4"/>
  <c r="G31" i="4"/>
  <c r="G30" i="4"/>
  <c r="G29" i="4"/>
  <c r="G28" i="4"/>
  <c r="G27" i="4"/>
  <c r="G26" i="4"/>
  <c r="G25" i="4"/>
  <c r="G24" i="4"/>
  <c r="G23" i="4"/>
  <c r="G22" i="4"/>
  <c r="G21" i="4"/>
  <c r="G20" i="4"/>
  <c r="P30" i="1" l="1"/>
  <c r="O30" i="1"/>
  <c r="N30" i="1"/>
  <c r="M30" i="1"/>
  <c r="L30" i="1"/>
  <c r="P29" i="1"/>
  <c r="O29" i="1"/>
  <c r="N29" i="1"/>
  <c r="M29" i="1"/>
  <c r="L29" i="1"/>
  <c r="P28" i="1"/>
  <c r="O28" i="1"/>
  <c r="N28" i="1"/>
  <c r="M28" i="1"/>
  <c r="L28" i="1"/>
  <c r="P27" i="1"/>
  <c r="O27" i="1"/>
  <c r="N27" i="1"/>
  <c r="M27" i="1"/>
  <c r="L27" i="1"/>
  <c r="P26" i="1"/>
  <c r="O26" i="1"/>
  <c r="N26" i="1"/>
  <c r="M26" i="1"/>
  <c r="L26" i="1"/>
  <c r="P25" i="1"/>
  <c r="O25" i="1"/>
  <c r="N25" i="1"/>
  <c r="M25" i="1"/>
  <c r="L25" i="1"/>
  <c r="P24" i="1"/>
  <c r="O24" i="1"/>
  <c r="N24" i="1"/>
  <c r="M24" i="1"/>
  <c r="L24" i="1"/>
  <c r="P23" i="1"/>
  <c r="O23" i="1"/>
  <c r="N23" i="1"/>
  <c r="M23" i="1"/>
  <c r="L23" i="1"/>
  <c r="P22" i="1"/>
  <c r="O22" i="1"/>
  <c r="N22" i="1"/>
  <c r="M22" i="1"/>
  <c r="L22" i="1"/>
  <c r="I30" i="1" l="1"/>
  <c r="I22" i="1"/>
  <c r="I26" i="1"/>
  <c r="I23" i="1"/>
  <c r="I25" i="1"/>
  <c r="I24" i="1"/>
  <c r="I27" i="1"/>
  <c r="I28" i="1"/>
  <c r="I29" i="1"/>
  <c r="V10" i="2"/>
  <c r="Q24" i="2"/>
  <c r="P11" i="2" s="1"/>
  <c r="Q22" i="2"/>
  <c r="P9" i="2" s="1"/>
  <c r="Q21" i="2"/>
  <c r="P8" i="2" s="1"/>
  <c r="Q20" i="2"/>
  <c r="P7" i="2" s="1"/>
  <c r="Q19" i="2"/>
  <c r="P6" i="2" s="1"/>
  <c r="Q18" i="2"/>
  <c r="P5" i="2" s="1"/>
  <c r="Q17" i="2"/>
  <c r="P4" i="2" s="1"/>
  <c r="Q16" i="2"/>
  <c r="P3" i="2" s="1"/>
  <c r="Q15" i="2"/>
  <c r="P2" i="2" s="1"/>
  <c r="L8" i="2"/>
  <c r="O13" i="2" s="1"/>
  <c r="S9" i="2" s="1"/>
  <c r="T9" i="2" s="1"/>
  <c r="L9" i="2"/>
  <c r="L10" i="2"/>
  <c r="V3" i="2" l="1"/>
  <c r="V11" i="2"/>
  <c r="V8" i="2"/>
  <c r="V9" i="2"/>
  <c r="V4" i="2"/>
  <c r="V6" i="2"/>
  <c r="V5" i="2"/>
  <c r="V7" i="2"/>
  <c r="S4" i="2"/>
  <c r="S5" i="2"/>
  <c r="S6" i="2"/>
  <c r="S2" i="2"/>
  <c r="S3" i="2"/>
  <c r="S7" i="2"/>
  <c r="S8" i="2"/>
  <c r="P13" i="2" l="1"/>
  <c r="U8" i="2" s="1"/>
  <c r="T5" i="2"/>
  <c r="T7" i="2"/>
  <c r="T3" i="2"/>
  <c r="T6" i="2"/>
  <c r="U6" i="2"/>
  <c r="T8" i="2"/>
  <c r="T4" i="2"/>
  <c r="U4" i="2"/>
  <c r="T2" i="2"/>
  <c r="C2" i="2"/>
  <c r="L11" i="2"/>
  <c r="L12" i="2"/>
  <c r="L13" i="2"/>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434" i="4"/>
  <c r="G433" i="4"/>
  <c r="G432" i="4"/>
  <c r="G431" i="4"/>
  <c r="G430" i="4"/>
  <c r="G429" i="4"/>
  <c r="G428" i="4"/>
  <c r="G427" i="4"/>
  <c r="G426" i="4"/>
  <c r="G425" i="4"/>
  <c r="G424" i="4"/>
  <c r="G423" i="4"/>
  <c r="G422" i="4"/>
  <c r="G421" i="4"/>
  <c r="G420" i="4"/>
  <c r="G419" i="4"/>
  <c r="G418" i="4"/>
  <c r="G417" i="4"/>
  <c r="G416" i="4"/>
  <c r="G415" i="4"/>
  <c r="G414" i="4"/>
  <c r="G413" i="4"/>
  <c r="G412" i="4"/>
  <c r="G411" i="4"/>
  <c r="G410" i="4"/>
  <c r="G409" i="4"/>
  <c r="G408" i="4"/>
  <c r="G407" i="4"/>
  <c r="G406" i="4"/>
  <c r="G405" i="4"/>
  <c r="G404" i="4"/>
  <c r="G403" i="4"/>
  <c r="G402" i="4"/>
  <c r="G401" i="4"/>
  <c r="G400" i="4"/>
  <c r="G399" i="4"/>
  <c r="G398" i="4"/>
  <c r="G397" i="4"/>
  <c r="G396" i="4"/>
  <c r="G395" i="4"/>
  <c r="G394" i="4"/>
  <c r="G393" i="4"/>
  <c r="G392" i="4"/>
  <c r="G391" i="4"/>
  <c r="G390" i="4"/>
  <c r="G389" i="4"/>
  <c r="G388" i="4"/>
  <c r="G387" i="4"/>
  <c r="G386" i="4"/>
  <c r="G385" i="4"/>
  <c r="G384" i="4"/>
  <c r="G383" i="4"/>
  <c r="G382" i="4"/>
  <c r="G381" i="4"/>
  <c r="G380" i="4"/>
  <c r="G379" i="4"/>
  <c r="G378" i="4"/>
  <c r="G377" i="4"/>
  <c r="G376" i="4"/>
  <c r="G375" i="4"/>
  <c r="G374" i="4"/>
  <c r="G373" i="4"/>
  <c r="G372" i="4"/>
  <c r="G371" i="4"/>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19" i="4"/>
  <c r="G18" i="4"/>
  <c r="G17" i="4"/>
  <c r="G16" i="4"/>
  <c r="G15" i="4"/>
  <c r="G14" i="4"/>
  <c r="G13" i="4"/>
  <c r="G12" i="4"/>
  <c r="G11" i="4"/>
  <c r="G10" i="4"/>
  <c r="G9" i="4"/>
  <c r="G8" i="4"/>
  <c r="G7" i="4"/>
  <c r="G6" i="4"/>
  <c r="G5" i="4"/>
  <c r="G4" i="4"/>
  <c r="G3" i="4"/>
  <c r="A30" i="2"/>
  <c r="M30" i="2" s="1"/>
  <c r="U7" i="2" l="1"/>
  <c r="U5" i="2"/>
  <c r="U11" i="2"/>
  <c r="U9" i="2"/>
  <c r="U2" i="2"/>
  <c r="U3" i="2"/>
  <c r="U10" i="2"/>
  <c r="O27" i="2"/>
  <c r="F30" i="2"/>
  <c r="G30" i="2"/>
  <c r="I30" i="2"/>
  <c r="B30" i="2"/>
  <c r="J30" i="2"/>
  <c r="K30" i="2"/>
  <c r="D30" i="2"/>
  <c r="L30" i="2"/>
  <c r="H30" i="2"/>
  <c r="C30" i="2"/>
  <c r="E30" i="2"/>
  <c r="O44" i="2" l="1"/>
  <c r="Q29" i="2"/>
  <c r="Q31" i="2"/>
  <c r="Q32" i="2"/>
  <c r="Q33" i="2"/>
  <c r="Q30" i="2"/>
  <c r="P35" i="2"/>
  <c r="P30" i="2"/>
  <c r="P29" i="2"/>
  <c r="P34" i="2"/>
  <c r="P31" i="2"/>
  <c r="P33" i="2"/>
  <c r="P37" i="2"/>
  <c r="P40" i="2"/>
  <c r="P32" i="2"/>
  <c r="P39" i="2"/>
  <c r="P38" i="2"/>
  <c r="P36" i="2"/>
  <c r="C3" i="2"/>
  <c r="P44" i="2" l="1"/>
  <c r="P43" i="2" s="1"/>
  <c r="P27" i="2"/>
  <c r="Q27" i="2"/>
  <c r="Q44" i="2" s="1"/>
  <c r="V2"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9"/>
        </ext>
      </extLst>
    </bk>
    <bk>
      <extLst>
        <ext uri="{3e2802c4-a4d2-4d8b-9148-e3be6c30e623}">
          <xlrd:rvb i="18"/>
        </ext>
      </extLst>
    </bk>
    <bk>
      <extLst>
        <ext uri="{3e2802c4-a4d2-4d8b-9148-e3be6c30e623}">
          <xlrd:rvb i="28"/>
        </ext>
      </extLst>
    </bk>
    <bk>
      <extLst>
        <ext uri="{3e2802c4-a4d2-4d8b-9148-e3be6c30e623}">
          <xlrd:rvb i="36"/>
        </ext>
      </extLst>
    </bk>
    <bk>
      <extLst>
        <ext uri="{3e2802c4-a4d2-4d8b-9148-e3be6c30e623}">
          <xlrd:rvb i="45"/>
        </ext>
      </extLst>
    </bk>
    <bk>
      <extLst>
        <ext uri="{3e2802c4-a4d2-4d8b-9148-e3be6c30e623}">
          <xlrd:rvb i="55"/>
        </ext>
      </extLst>
    </bk>
    <bk>
      <extLst>
        <ext uri="{3e2802c4-a4d2-4d8b-9148-e3be6c30e623}">
          <xlrd:rvb i="65"/>
        </ext>
      </extLst>
    </bk>
    <bk>
      <extLst>
        <ext uri="{3e2802c4-a4d2-4d8b-9148-e3be6c30e623}">
          <xlrd:rvb i="74"/>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<sst xmlns="http://schemas.openxmlformats.org/spreadsheetml/2006/main" count="2527" uniqueCount="79">
  <si>
    <t>Cantidad</t>
  </si>
  <si>
    <t>Estado</t>
  </si>
  <si>
    <t>Mes</t>
  </si>
  <si>
    <t>Yucatán</t>
  </si>
  <si>
    <t>Quintana Roo</t>
  </si>
  <si>
    <t>Campeche</t>
  </si>
  <si>
    <t>Oaxaca</t>
  </si>
  <si>
    <t>CDMX</t>
  </si>
  <si>
    <t>Guerrero</t>
  </si>
  <si>
    <t>Veracruz</t>
  </si>
  <si>
    <t>Calificación</t>
  </si>
  <si>
    <t>CALIFICACIÓN POR CENTRO DE PROCESO SEGÚN INSUMOS</t>
  </si>
  <si>
    <t>ENERO</t>
  </si>
  <si>
    <t>FEBRERO</t>
  </si>
  <si>
    <t>MARZO</t>
  </si>
  <si>
    <t>ABRIL</t>
  </si>
  <si>
    <t>MAYO</t>
  </si>
  <si>
    <t>JUNIO</t>
  </si>
  <si>
    <t>JULIO</t>
  </si>
  <si>
    <t>AGOSTO</t>
  </si>
  <si>
    <t>SEPTIEMBRE</t>
  </si>
  <si>
    <t>OCTUBRE</t>
  </si>
  <si>
    <t>NOVIEMBRE</t>
  </si>
  <si>
    <t>DICIEMBRE</t>
  </si>
  <si>
    <t>Totales</t>
  </si>
  <si>
    <t>MES</t>
  </si>
  <si>
    <t>CANTIDAD</t>
  </si>
  <si>
    <t>AÑO</t>
  </si>
  <si>
    <t>TIPO DE VENTA</t>
  </si>
  <si>
    <t>C de PROCESO</t>
  </si>
  <si>
    <t>ESTADO</t>
  </si>
  <si>
    <t>OAX</t>
  </si>
  <si>
    <t>Suma de CANTIDAD</t>
  </si>
  <si>
    <t>VENTA TOTAL</t>
  </si>
  <si>
    <t>RENTABILIDAD</t>
  </si>
  <si>
    <t>C de Proceso</t>
  </si>
  <si>
    <t>Jalisco</t>
  </si>
  <si>
    <t>Nuevo León</t>
  </si>
  <si>
    <t>UTLIDAD</t>
  </si>
  <si>
    <t>-</t>
  </si>
  <si>
    <t>Centro de Proceso</t>
  </si>
  <si>
    <t>Acumulado</t>
  </si>
  <si>
    <t>Rentabilidad</t>
  </si>
  <si>
    <t>UTILIDAD</t>
  </si>
  <si>
    <t>Utilidad</t>
  </si>
  <si>
    <t>Reantabilidad</t>
  </si>
  <si>
    <t>Centro de proceso</t>
  </si>
  <si>
    <t>C P</t>
  </si>
  <si>
    <t>CAM</t>
  </si>
  <si>
    <t>ACA</t>
  </si>
  <si>
    <t>MID</t>
  </si>
  <si>
    <t>MTY</t>
  </si>
  <si>
    <t>CUN</t>
  </si>
  <si>
    <t>GDL</t>
  </si>
  <si>
    <t>Qatz</t>
  </si>
  <si>
    <t>Qtza</t>
  </si>
  <si>
    <t>Tipo</t>
  </si>
  <si>
    <t>Cantidad 3</t>
  </si>
  <si>
    <t>México</t>
  </si>
  <si>
    <t>Acapulco</t>
  </si>
  <si>
    <t>Mérida</t>
  </si>
  <si>
    <t>Coatzacoalcos</t>
  </si>
  <si>
    <t>Monterrey</t>
  </si>
  <si>
    <t>Cancún</t>
  </si>
  <si>
    <t>Guadalajara</t>
  </si>
  <si>
    <t>Acumulado a abril de 2022</t>
  </si>
  <si>
    <t>Rentabilidad:</t>
  </si>
  <si>
    <t>Venta total</t>
  </si>
  <si>
    <t>Acumulado  (mapa)</t>
  </si>
  <si>
    <t>Nombre</t>
  </si>
  <si>
    <t>Nombre corto</t>
  </si>
  <si>
    <t>CP</t>
  </si>
  <si>
    <t>Porcentaje de crecimiento anual</t>
  </si>
  <si>
    <t>Isumos</t>
  </si>
  <si>
    <t>(Todas)</t>
  </si>
  <si>
    <t>Cliente 01</t>
  </si>
  <si>
    <t>Cliente 02</t>
  </si>
  <si>
    <t>Cliente 03</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</si>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</sst>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quot;$&quot;* #,##0.00_-;_-&quot;$&quot;* &quot;-&quot;??_-;_-@_-"/>
    <numFmt numFmtId="164" formatCode="&quot;$&quot;\ #,##0,\ &quot;K&quot;"/>
    <numFmt numFmtId="165" formatCode="&quot;$&quot;\ #.##0,,\ &quot;M&quot;"/>
    <numFmt numFmtId="166" formatCode="&quot;$&quot;\ #,###.0,\ &quot;K&quot;"/>
    <numFmt numFmtId="167" formatCode="&quot;$&quot;\ #.#0,\ &quot;K&quot;"/>
    <numFmt numFmtId="168" formatCode="&quot;$&quot;\ #,###.0,,\ &quot;M&quot;"/>
    <numFmt numFmtId="169" formatCode="0\ %\ \↑;[Red]\ \-\ 0\ %\ \↓"/>
    <numFmt numFmtId="170" formatCode="0.0%"/>
    <numFmt numFmtId="171" formatCode="0.0"/>
    <numFmt numFmtId="172" formatCode="&quot;$&quot;#,##0.0"/>
  </numFmts>
  <fonts count="20" x14ac:knownFonts="1">
    <font>
      <sz val="11"/>
      <color theme="1"/>
      <name val="Gill Sans MT"/>
      <family val="2"/>
      <scheme val="minor"/>
    </font>
    <font>
      <sz val="11"/>
      <color theme="1"/>
      <name val="Gill Sans MT"/>
      <family val="2"/>
      <scheme val="minor"/>
    </font>
    <font>
      <b/>
      <sz val="11"/>
      <color theme="1"/>
      <name val="Gill Sans MT"/>
      <family val="2"/>
      <scheme val="minor"/>
    </font>
    <font>
      <sz val="11"/>
      <color theme="0" tint="-0.14999847407452621"/>
      <name val="Gill Sans MT"/>
      <family val="2"/>
      <scheme val="minor"/>
    </font>
    <font>
      <b/>
      <sz val="11"/>
      <color rgb="FF0A0101"/>
      <name val="Arial"/>
      <family val="2"/>
    </font>
    <font>
      <b/>
      <sz val="15"/>
      <color theme="3"/>
      <name val="Gill Sans MT"/>
      <family val="2"/>
      <scheme val="minor"/>
    </font>
    <font>
      <b/>
      <sz val="11"/>
      <color theme="3"/>
      <name val="Gill Sans MT"/>
      <family val="2"/>
      <scheme val="minor"/>
    </font>
    <font>
      <b/>
      <sz val="11"/>
      <color theme="0"/>
      <name val="Gill Sans MT"/>
      <family val="2"/>
      <scheme val="minor"/>
    </font>
    <font>
      <sz val="11"/>
      <color theme="0"/>
      <name val="Gill Sans MT"/>
      <family val="2"/>
      <scheme val="minor"/>
    </font>
    <font>
      <b/>
      <sz val="11"/>
      <name val="Gill Sans MT"/>
      <family val="2"/>
      <scheme val="minor"/>
    </font>
    <font>
      <b/>
      <sz val="9"/>
      <color rgb="FF00B050"/>
      <name val="Gill Sans MT"/>
      <family val="2"/>
      <scheme val="minor"/>
    </font>
    <font>
      <sz val="9"/>
      <name val="Gill Sans MT"/>
      <family val="2"/>
      <scheme val="minor"/>
    </font>
    <font>
      <b/>
      <sz val="11"/>
      <color theme="0" tint="-0.14999847407452621"/>
      <name val="Gill Sans MT"/>
      <family val="2"/>
      <scheme val="minor"/>
    </font>
    <font>
      <b/>
      <sz val="11"/>
      <color theme="1"/>
      <name val="Calibri"/>
      <family val="2"/>
    </font>
    <font>
      <sz val="11"/>
      <color theme="1"/>
      <name val="Calibri"/>
      <family val="2"/>
    </font>
    <font>
      <b/>
      <sz val="9"/>
      <color theme="1"/>
      <name val="Gill Sans MT"/>
      <family val="2"/>
      <scheme val="minor"/>
    </font>
    <font>
      <sz val="9"/>
      <color theme="1"/>
      <name val="Gill Sans MT"/>
      <family val="2"/>
      <scheme val="minor"/>
    </font>
    <font>
      <b/>
      <sz val="9"/>
      <color theme="0"/>
      <name val="Gill Sans MT"/>
      <family val="2"/>
      <scheme val="minor"/>
    </font>
    <font>
      <b/>
      <sz val="9"/>
      <name val="Gill Sans MT"/>
      <family val="2"/>
      <scheme val="minor"/>
    </font>
    <font>
      <b/>
      <sz val="9"/>
      <color rgb="FF7030A0"/>
      <name val="Gill Sans MT"/>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F8F4FA"/>
        <bgColor indexed="64"/>
      </patternFill>
    </fill>
    <fill>
      <patternFill patternType="solid">
        <fgColor theme="6"/>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ck">
        <color theme="4"/>
      </bottom>
      <diagonal/>
    </border>
    <border>
      <left/>
      <right/>
      <top/>
      <bottom style="thin">
        <color theme="4" tint="0.3999755851924192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style="medium">
        <color indexed="64"/>
      </right>
      <top/>
      <bottom style="medium">
        <color indexed="64"/>
      </bottom>
      <diagonal/>
    </border>
    <border>
      <left style="medium">
        <color indexed="64"/>
      </left>
      <right/>
      <top/>
      <bottom style="thin">
        <color theme="4" tint="0.3999755851924192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theme="4" tint="0.39997558519241921"/>
      </bottom>
      <diagonal/>
    </border>
    <border>
      <left style="medium">
        <color indexed="64"/>
      </left>
      <right/>
      <top/>
      <bottom style="thin">
        <color indexed="64"/>
      </bottom>
      <diagonal/>
    </border>
    <border>
      <left/>
      <right style="medium">
        <color indexed="64"/>
      </right>
      <top/>
      <bottom style="thin">
        <color indexed="64"/>
      </bottom>
      <diagonal/>
    </border>
    <border>
      <left style="medium">
        <color theme="4"/>
      </left>
      <right style="thin">
        <color indexed="64"/>
      </right>
      <top style="medium">
        <color theme="4"/>
      </top>
      <bottom style="thin">
        <color indexed="64"/>
      </bottom>
      <diagonal/>
    </border>
    <border>
      <left style="thin">
        <color indexed="64"/>
      </left>
      <right style="medium">
        <color theme="4"/>
      </right>
      <top style="medium">
        <color theme="4"/>
      </top>
      <bottom style="thin">
        <color indexed="64"/>
      </bottom>
      <diagonal/>
    </border>
    <border>
      <left style="thin">
        <color indexed="64"/>
      </left>
      <right style="medium">
        <color theme="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10" applyNumberFormat="0" applyFill="0" applyAlignment="0" applyProtection="0"/>
  </cellStyleXfs>
  <cellXfs count="150">
    <xf numFmtId="0" fontId="0" fillId="0" borderId="0" xfId="0"/>
    <xf numFmtId="0" fontId="0" fillId="0" borderId="4" xfId="0" applyBorder="1"/>
    <xf numFmtId="166" fontId="0" fillId="0" borderId="0" xfId="0" applyNumberFormat="1"/>
    <xf numFmtId="0" fontId="2" fillId="0" borderId="0" xfId="0" applyFont="1"/>
    <xf numFmtId="0" fontId="10" fillId="0" borderId="13" xfId="0" applyFont="1" applyBorder="1"/>
    <xf numFmtId="44" fontId="0" fillId="0" borderId="0" xfId="1" applyFont="1" applyBorder="1"/>
    <xf numFmtId="165" fontId="0" fillId="0" borderId="0" xfId="0" applyNumberFormat="1"/>
    <xf numFmtId="0" fontId="10" fillId="0" borderId="23" xfId="0" applyFont="1" applyBorder="1"/>
    <xf numFmtId="9" fontId="11" fillId="0" borderId="24" xfId="0" applyNumberFormat="1" applyFont="1" applyBorder="1"/>
    <xf numFmtId="0" fontId="10" fillId="0" borderId="20" xfId="0" applyFont="1" applyBorder="1"/>
    <xf numFmtId="44" fontId="11" fillId="0" borderId="25" xfId="0" applyNumberFormat="1" applyFont="1" applyBorder="1"/>
    <xf numFmtId="0" fontId="10" fillId="0" borderId="16" xfId="0" applyFont="1" applyBorder="1"/>
    <xf numFmtId="0" fontId="10" fillId="0" borderId="17" xfId="0" applyFont="1" applyBorder="1"/>
    <xf numFmtId="0" fontId="7" fillId="4" borderId="12" xfId="0" applyFont="1" applyFill="1" applyBorder="1"/>
    <xf numFmtId="0" fontId="7" fillId="4" borderId="21" xfId="0" applyFont="1" applyFill="1" applyBorder="1"/>
    <xf numFmtId="166" fontId="7" fillId="4" borderId="7" xfId="0" applyNumberFormat="1" applyFont="1" applyFill="1" applyBorder="1"/>
    <xf numFmtId="0" fontId="7" fillId="4" borderId="18" xfId="0" applyFont="1" applyFill="1" applyBorder="1"/>
    <xf numFmtId="0" fontId="7" fillId="4" borderId="3" xfId="0" applyFont="1" applyFill="1" applyBorder="1"/>
    <xf numFmtId="170" fontId="7" fillId="4" borderId="26" xfId="2" applyNumberFormat="1" applyFont="1" applyFill="1" applyBorder="1"/>
    <xf numFmtId="0" fontId="7" fillId="4" borderId="22" xfId="0" applyFont="1" applyFill="1" applyBorder="1" applyAlignment="1">
      <alignment horizontal="center"/>
    </xf>
    <xf numFmtId="0" fontId="7" fillId="4" borderId="28" xfId="0" applyFont="1" applyFill="1" applyBorder="1" applyAlignment="1">
      <alignment horizontal="center"/>
    </xf>
    <xf numFmtId="0" fontId="8" fillId="4" borderId="21" xfId="0" applyFont="1" applyFill="1" applyBorder="1"/>
    <xf numFmtId="0" fontId="8" fillId="4" borderId="7" xfId="0" applyFont="1" applyFill="1" applyBorder="1"/>
    <xf numFmtId="0" fontId="7" fillId="4" borderId="13" xfId="0" applyFont="1" applyFill="1" applyBorder="1"/>
    <xf numFmtId="0" fontId="7" fillId="4" borderId="18" xfId="0" applyFont="1" applyFill="1" applyBorder="1" applyAlignment="1">
      <alignment horizontal="center"/>
    </xf>
    <xf numFmtId="0" fontId="7" fillId="4" borderId="3" xfId="0" applyFont="1" applyFill="1" applyBorder="1" applyAlignment="1">
      <alignment horizontal="center"/>
    </xf>
    <xf numFmtId="168" fontId="7" fillId="4" borderId="26" xfId="0" applyNumberFormat="1" applyFont="1" applyFill="1" applyBorder="1" applyAlignment="1">
      <alignment horizontal="center"/>
    </xf>
    <xf numFmtId="0" fontId="7" fillId="4" borderId="7" xfId="0" applyFont="1" applyFill="1" applyBorder="1"/>
    <xf numFmtId="9" fontId="7" fillId="4" borderId="14" xfId="2" applyFont="1" applyFill="1" applyBorder="1" applyAlignment="1">
      <alignment horizontal="center"/>
    </xf>
    <xf numFmtId="166" fontId="7" fillId="4" borderId="0" xfId="0" applyNumberFormat="1" applyFont="1" applyFill="1"/>
    <xf numFmtId="166" fontId="7" fillId="4" borderId="14" xfId="0" applyNumberFormat="1" applyFont="1" applyFill="1" applyBorder="1"/>
    <xf numFmtId="0" fontId="0" fillId="6" borderId="0" xfId="0" applyFill="1"/>
    <xf numFmtId="0" fontId="5" fillId="6" borderId="10" xfId="3" applyFill="1" applyAlignment="1">
      <alignment horizontal="centerContinuous"/>
    </xf>
    <xf numFmtId="0" fontId="9" fillId="6" borderId="10" xfId="3" applyFont="1" applyFill="1" applyAlignment="1">
      <alignment horizontal="left"/>
    </xf>
    <xf numFmtId="0" fontId="12" fillId="6" borderId="10" xfId="3" applyFont="1" applyFill="1" applyAlignment="1">
      <alignment horizontal="left"/>
    </xf>
    <xf numFmtId="164" fontId="0" fillId="6" borderId="0" xfId="0" applyNumberFormat="1" applyFill="1" applyAlignment="1">
      <alignment vertical="center"/>
    </xf>
    <xf numFmtId="171" fontId="3" fillId="6" borderId="0" xfId="0" applyNumberFormat="1" applyFont="1" applyFill="1"/>
    <xf numFmtId="0" fontId="13" fillId="0" borderId="0" xfId="0" applyFont="1" applyAlignment="1">
      <alignment horizontal="center"/>
    </xf>
    <xf numFmtId="0" fontId="13" fillId="0" borderId="30" xfId="0" applyFont="1" applyBorder="1" applyAlignment="1">
      <alignment horizontal="centerContinuous"/>
    </xf>
    <xf numFmtId="0" fontId="14" fillId="0" borderId="32" xfId="0" applyFont="1" applyBorder="1" applyAlignment="1">
      <alignment horizontal="centerContinuous"/>
    </xf>
    <xf numFmtId="0" fontId="14" fillId="0" borderId="31" xfId="0" applyFont="1" applyBorder="1" applyAlignment="1">
      <alignment horizontal="centerContinuous"/>
    </xf>
    <xf numFmtId="0" fontId="14" fillId="0" borderId="0" xfId="0" applyFont="1"/>
    <xf numFmtId="0" fontId="13" fillId="0" borderId="30" xfId="0" applyFont="1" applyBorder="1" applyAlignment="1">
      <alignment horizontal="center"/>
    </xf>
    <xf numFmtId="0" fontId="13" fillId="0" borderId="32" xfId="0" applyFont="1" applyBorder="1" applyAlignment="1">
      <alignment horizontal="center"/>
    </xf>
    <xf numFmtId="0" fontId="13" fillId="0" borderId="31" xfId="0" applyFont="1" applyBorder="1" applyAlignment="1">
      <alignment horizontal="center"/>
    </xf>
    <xf numFmtId="0" fontId="13" fillId="0" borderId="31" xfId="0" applyFont="1" applyBorder="1" applyAlignment="1">
      <alignment horizontal="left"/>
    </xf>
    <xf numFmtId="0" fontId="14" fillId="0" borderId="13" xfId="0" applyFont="1" applyBorder="1"/>
    <xf numFmtId="166" fontId="14" fillId="0" borderId="0" xfId="1" applyNumberFormat="1" applyFont="1" applyBorder="1"/>
    <xf numFmtId="0" fontId="14" fillId="0" borderId="14" xfId="0" applyFont="1" applyBorder="1"/>
    <xf numFmtId="9" fontId="14" fillId="0" borderId="0" xfId="2" applyFont="1" applyBorder="1"/>
    <xf numFmtId="167" fontId="14" fillId="0" borderId="0" xfId="0" applyNumberFormat="1" applyFont="1"/>
    <xf numFmtId="0" fontId="14" fillId="0" borderId="34" xfId="0" applyFont="1" applyBorder="1"/>
    <xf numFmtId="9" fontId="14" fillId="0" borderId="19" xfId="2" applyFont="1" applyBorder="1"/>
    <xf numFmtId="0" fontId="14" fillId="0" borderId="19" xfId="0" applyFont="1" applyBorder="1"/>
    <xf numFmtId="0" fontId="14" fillId="0" borderId="35" xfId="0" applyFont="1" applyBorder="1"/>
    <xf numFmtId="167" fontId="14" fillId="0" borderId="19" xfId="0" applyNumberFormat="1" applyFont="1" applyBorder="1"/>
    <xf numFmtId="166" fontId="14" fillId="0" borderId="19" xfId="1" applyNumberFormat="1" applyFont="1" applyBorder="1"/>
    <xf numFmtId="166" fontId="14" fillId="0" borderId="0" xfId="0" applyNumberFormat="1" applyFont="1"/>
    <xf numFmtId="166" fontId="14" fillId="0" borderId="19" xfId="0" applyNumberFormat="1" applyFont="1" applyBorder="1"/>
    <xf numFmtId="0" fontId="14" fillId="0" borderId="18" xfId="0" applyFont="1" applyBorder="1"/>
    <xf numFmtId="9" fontId="14" fillId="0" borderId="3" xfId="2" applyFont="1" applyBorder="1"/>
    <xf numFmtId="0" fontId="14" fillId="0" borderId="3" xfId="0" applyFont="1" applyBorder="1"/>
    <xf numFmtId="0" fontId="14" fillId="0" borderId="26" xfId="0" applyFont="1" applyBorder="1"/>
    <xf numFmtId="9" fontId="14" fillId="0" borderId="0" xfId="2" applyFont="1"/>
    <xf numFmtId="166" fontId="14" fillId="0" borderId="3" xfId="0" applyNumberFormat="1" applyFont="1" applyBorder="1"/>
    <xf numFmtId="0" fontId="15" fillId="0" borderId="0" xfId="0" applyFont="1"/>
    <xf numFmtId="0" fontId="16" fillId="0" borderId="0" xfId="0" applyFont="1"/>
    <xf numFmtId="0" fontId="16" fillId="0" borderId="27" xfId="0" applyFont="1" applyBorder="1"/>
    <xf numFmtId="0" fontId="15" fillId="0" borderId="12" xfId="0" applyFont="1" applyBorder="1"/>
    <xf numFmtId="0" fontId="16" fillId="0" borderId="7" xfId="0" applyFont="1" applyBorder="1"/>
    <xf numFmtId="0" fontId="15" fillId="0" borderId="21" xfId="0" applyFont="1" applyBorder="1"/>
    <xf numFmtId="0" fontId="15" fillId="0" borderId="7" xfId="0" applyFont="1" applyBorder="1"/>
    <xf numFmtId="0" fontId="15" fillId="0" borderId="30" xfId="0" applyFont="1" applyBorder="1" applyAlignment="1">
      <alignment horizontal="centerContinuous"/>
    </xf>
    <xf numFmtId="0" fontId="16" fillId="0" borderId="31" xfId="0" applyFont="1" applyBorder="1" applyAlignment="1">
      <alignment horizontal="centerContinuous"/>
    </xf>
    <xf numFmtId="0" fontId="16" fillId="0" borderId="12" xfId="0" applyFont="1" applyBorder="1"/>
    <xf numFmtId="9" fontId="16" fillId="0" borderId="7" xfId="2" applyFont="1" applyBorder="1" applyAlignment="1">
      <alignment horizontal="right"/>
    </xf>
    <xf numFmtId="164" fontId="16" fillId="0" borderId="13" xfId="0" applyNumberFormat="1" applyFont="1" applyBorder="1" applyAlignment="1">
      <alignment vertical="center"/>
    </xf>
    <xf numFmtId="9" fontId="16" fillId="0" borderId="0" xfId="2" applyFont="1" applyBorder="1" applyAlignment="1">
      <alignment vertical="center"/>
    </xf>
    <xf numFmtId="9" fontId="16" fillId="0" borderId="14" xfId="2" applyFont="1" applyBorder="1" applyAlignment="1">
      <alignment horizontal="right" vertical="center"/>
    </xf>
    <xf numFmtId="0" fontId="15" fillId="0" borderId="30" xfId="0" applyFont="1" applyBorder="1"/>
    <xf numFmtId="0" fontId="15" fillId="0" borderId="31" xfId="0" applyFont="1" applyBorder="1" applyAlignment="1">
      <alignment horizontal="centerContinuous"/>
    </xf>
    <xf numFmtId="0" fontId="16" fillId="0" borderId="13" xfId="0" applyFont="1" applyBorder="1"/>
    <xf numFmtId="9" fontId="16" fillId="0" borderId="14" xfId="2" applyFont="1" applyBorder="1" applyAlignment="1">
      <alignment horizontal="right"/>
    </xf>
    <xf numFmtId="0" fontId="16" fillId="0" borderId="14" xfId="0" applyFont="1" applyBorder="1"/>
    <xf numFmtId="9" fontId="16" fillId="0" borderId="0" xfId="2" applyFont="1"/>
    <xf numFmtId="169" fontId="16" fillId="0" borderId="0" xfId="2" applyNumberFormat="1" applyFont="1" applyAlignment="1">
      <alignment horizontal="right"/>
    </xf>
    <xf numFmtId="0" fontId="16" fillId="0" borderId="0" xfId="0" pivotButton="1" applyFont="1"/>
    <xf numFmtId="0" fontId="15" fillId="3" borderId="15" xfId="0" applyFont="1" applyFill="1" applyBorder="1" applyAlignment="1">
      <alignment horizontal="center"/>
    </xf>
    <xf numFmtId="0" fontId="16" fillId="0" borderId="0" xfId="0" applyFont="1" applyAlignment="1">
      <alignment horizontal="left"/>
    </xf>
    <xf numFmtId="9" fontId="16" fillId="0" borderId="0" xfId="0" applyNumberFormat="1" applyFont="1"/>
    <xf numFmtId="9" fontId="16" fillId="0" borderId="14" xfId="2" applyFont="1" applyBorder="1"/>
    <xf numFmtId="0" fontId="16" fillId="0" borderId="18" xfId="0" applyFont="1" applyBorder="1"/>
    <xf numFmtId="9" fontId="16" fillId="0" borderId="26" xfId="2" applyFont="1" applyBorder="1" applyAlignment="1">
      <alignment horizontal="right"/>
    </xf>
    <xf numFmtId="164" fontId="16" fillId="0" borderId="18" xfId="0" applyNumberFormat="1" applyFont="1" applyBorder="1" applyAlignment="1">
      <alignment vertical="center"/>
    </xf>
    <xf numFmtId="0" fontId="16" fillId="0" borderId="3" xfId="0" applyFont="1" applyBorder="1"/>
    <xf numFmtId="9" fontId="16" fillId="0" borderId="3" xfId="2" applyFont="1" applyBorder="1" applyAlignment="1">
      <alignment vertical="center"/>
    </xf>
    <xf numFmtId="9" fontId="16" fillId="0" borderId="26" xfId="2" applyFont="1" applyBorder="1" applyAlignment="1">
      <alignment horizontal="right" vertical="center"/>
    </xf>
    <xf numFmtId="0" fontId="16" fillId="0" borderId="26" xfId="0" applyFont="1" applyBorder="1"/>
    <xf numFmtId="0" fontId="15" fillId="0" borderId="30" xfId="0" applyFont="1" applyBorder="1" applyAlignment="1">
      <alignment horizontal="center"/>
    </xf>
    <xf numFmtId="0" fontId="15" fillId="0" borderId="32" xfId="0" applyFont="1" applyBorder="1" applyAlignment="1">
      <alignment horizontal="center"/>
    </xf>
    <xf numFmtId="0" fontId="15" fillId="0" borderId="31" xfId="0" applyFont="1" applyBorder="1" applyAlignment="1">
      <alignment horizontal="center"/>
    </xf>
    <xf numFmtId="0" fontId="16" fillId="0" borderId="13" xfId="0" applyFont="1" applyBorder="1" applyAlignment="1">
      <alignment horizontal="left"/>
    </xf>
    <xf numFmtId="0" fontId="16" fillId="0" borderId="4" xfId="0" applyFont="1" applyBorder="1"/>
    <xf numFmtId="0" fontId="15" fillId="2" borderId="29" xfId="0" applyFont="1" applyFill="1" applyBorder="1" applyAlignment="1">
      <alignment horizontal="center"/>
    </xf>
    <xf numFmtId="0" fontId="15" fillId="2" borderId="11" xfId="0" applyFont="1" applyFill="1" applyBorder="1"/>
    <xf numFmtId="0" fontId="15" fillId="2" borderId="33" xfId="0" applyFont="1" applyFill="1" applyBorder="1"/>
    <xf numFmtId="0" fontId="16" fillId="0" borderId="0" xfId="0" applyFont="1" applyAlignment="1">
      <alignment horizontal="right"/>
    </xf>
    <xf numFmtId="166" fontId="16" fillId="0" borderId="0" xfId="0" applyNumberFormat="1" applyFont="1"/>
    <xf numFmtId="166" fontId="16" fillId="0" borderId="14" xfId="0" applyNumberFormat="1" applyFont="1" applyBorder="1"/>
    <xf numFmtId="0" fontId="16" fillId="0" borderId="0" xfId="0" applyFont="1" applyAlignment="1">
      <alignment vertical="center"/>
    </xf>
    <xf numFmtId="0" fontId="15"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16" fillId="0" borderId="6" xfId="0" applyFont="1" applyBorder="1"/>
    <xf numFmtId="9" fontId="16" fillId="0" borderId="8" xfId="2" applyFont="1" applyBorder="1"/>
    <xf numFmtId="0" fontId="16" fillId="0" borderId="5" xfId="0" applyFont="1" applyBorder="1"/>
    <xf numFmtId="9" fontId="16" fillId="0" borderId="9" xfId="2" applyFont="1" applyBorder="1"/>
    <xf numFmtId="0" fontId="16" fillId="0" borderId="23" xfId="0" applyFont="1" applyBorder="1"/>
    <xf numFmtId="9" fontId="16" fillId="0" borderId="24" xfId="2" applyFont="1" applyBorder="1"/>
    <xf numFmtId="0" fontId="18" fillId="0" borderId="7" xfId="0" applyFont="1" applyBorder="1" applyAlignment="1">
      <alignment horizontal="center"/>
    </xf>
    <xf numFmtId="0" fontId="18" fillId="0" borderId="0" xfId="0" applyFont="1" applyAlignment="1">
      <alignment horizontal="center"/>
    </xf>
    <xf numFmtId="0" fontId="16" fillId="0" borderId="20" xfId="0" applyFont="1" applyBorder="1"/>
    <xf numFmtId="167" fontId="16" fillId="0" borderId="25" xfId="0" applyNumberFormat="1" applyFont="1" applyBorder="1"/>
    <xf numFmtId="167" fontId="16" fillId="0" borderId="9" xfId="0" applyNumberFormat="1" applyFont="1" applyBorder="1"/>
    <xf numFmtId="166" fontId="16" fillId="0" borderId="9" xfId="0" applyNumberFormat="1" applyFont="1" applyBorder="1"/>
    <xf numFmtId="167" fontId="16" fillId="0" borderId="24" xfId="0" applyNumberFormat="1" applyFont="1" applyBorder="1"/>
    <xf numFmtId="44" fontId="16" fillId="0" borderId="1" xfId="1" applyFont="1" applyBorder="1"/>
    <xf numFmtId="0" fontId="16" fillId="0" borderId="1" xfId="0" applyFont="1" applyBorder="1"/>
    <xf numFmtId="0" fontId="19" fillId="0" borderId="18" xfId="0" applyFont="1" applyBorder="1"/>
    <xf numFmtId="9" fontId="19" fillId="0" borderId="2" xfId="2" applyFont="1" applyBorder="1"/>
    <xf numFmtId="0" fontId="16" fillId="0" borderId="2" xfId="0" applyFont="1" applyBorder="1"/>
    <xf numFmtId="0" fontId="17" fillId="7" borderId="0" xfId="0" applyFont="1" applyFill="1"/>
    <xf numFmtId="0" fontId="4" fillId="5" borderId="0" xfId="0" applyFont="1" applyFill="1" applyAlignment="1">
      <alignment horizontal="center"/>
    </xf>
    <xf numFmtId="0" fontId="2" fillId="0" borderId="36" xfId="0" applyFont="1" applyBorder="1"/>
    <xf numFmtId="0" fontId="2" fillId="0" borderId="37" xfId="0" applyFont="1" applyBorder="1"/>
    <xf numFmtId="0" fontId="0" fillId="0" borderId="38" xfId="0" applyBorder="1"/>
    <xf numFmtId="0" fontId="7" fillId="4" borderId="12" xfId="0" applyFont="1" applyFill="1" applyBorder="1" applyAlignment="1">
      <alignment horizontal="center"/>
    </xf>
    <xf numFmtId="0" fontId="7" fillId="4" borderId="21" xfId="0" applyFont="1" applyFill="1" applyBorder="1" applyAlignment="1">
      <alignment horizontal="center"/>
    </xf>
    <xf numFmtId="0" fontId="7" fillId="4" borderId="7" xfId="0" applyFont="1" applyFill="1" applyBorder="1" applyAlignment="1">
      <alignment horizontal="center"/>
    </xf>
    <xf numFmtId="0" fontId="7" fillId="4" borderId="12" xfId="0" applyFont="1" applyFill="1" applyBorder="1" applyAlignment="1">
      <alignment horizontal="centerContinuous"/>
    </xf>
    <xf numFmtId="0" fontId="8" fillId="4" borderId="21" xfId="0" applyFont="1" applyFill="1" applyBorder="1" applyAlignment="1">
      <alignment horizontal="centerContinuous"/>
    </xf>
    <xf numFmtId="0" fontId="8" fillId="4" borderId="7" xfId="0" applyFont="1" applyFill="1" applyBorder="1" applyAlignment="1">
      <alignment horizontal="centerContinuous"/>
    </xf>
    <xf numFmtId="171" fontId="0" fillId="6" borderId="0" xfId="0" applyNumberFormat="1" applyFill="1"/>
    <xf numFmtId="172" fontId="16" fillId="0" borderId="0" xfId="0" applyNumberFormat="1" applyFont="1"/>
    <xf numFmtId="172" fontId="16" fillId="0" borderId="14" xfId="0" applyNumberFormat="1" applyFont="1" applyBorder="1"/>
    <xf numFmtId="172" fontId="16" fillId="0" borderId="3" xfId="0" applyNumberFormat="1" applyFont="1" applyBorder="1"/>
    <xf numFmtId="172" fontId="16" fillId="0" borderId="26" xfId="0" applyNumberFormat="1" applyFont="1" applyBorder="1"/>
    <xf numFmtId="0" fontId="16" fillId="0" borderId="0" xfId="0" applyFont="1" applyFill="1"/>
    <xf numFmtId="0" fontId="6" fillId="6" borderId="10" xfId="3" applyFont="1" applyFill="1" applyAlignment="1">
      <alignment horizontal="centerContinuous" vertical="center"/>
    </xf>
    <xf numFmtId="0" fontId="16" fillId="0" borderId="0" xfId="0" applyNumberFormat="1" applyFont="1"/>
  </cellXfs>
  <cellStyles count="4">
    <cellStyle name="Encabezado 1" xfId="3" builtinId="16"/>
    <cellStyle name="Moneda" xfId="1" builtinId="4"/>
    <cellStyle name="Normal" xfId="0" builtinId="0"/>
    <cellStyle name="Porcentaje" xfId="2" builtinId="5"/>
  </cellStyles>
  <dxfs count="88">
    <dxf>
      <font>
        <b/>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172" formatCode="&quot;$&quot;#,##0.0"/>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b/>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172" formatCode="&quot;$&quot;#,##0.0"/>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ont>
        <sz val="9"/>
      </font>
    </dxf>
    <dxf>
      <font>
        <sz val="9"/>
      </font>
    </dxf>
    <dxf>
      <font>
        <sz val="9"/>
      </font>
    </dxf>
    <dxf>
      <font>
        <sz val="9"/>
      </font>
    </dxf>
    <dxf>
      <font>
        <sz val="9"/>
      </font>
    </dxf>
    <dxf>
      <font>
        <sz val="9"/>
      </font>
    </dxf>
    <dxf>
      <font>
        <sz val="9"/>
      </font>
    </dxf>
    <dxf>
      <font>
        <b/>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172" formatCode="&quot;$&quot;#,##0.0"/>
    </dxf>
    <dxf>
      <font>
        <b val="0"/>
        <i/>
        <color rgb="FF002060"/>
        <name val="Gill Sans MT"/>
        <family val="2"/>
        <scheme val="major"/>
      </font>
      <fill>
        <patternFill>
          <bgColor theme="0"/>
        </patternFill>
      </fill>
    </dxf>
  </dxfs>
  <tableStyles count="3" defaultTableStyle="TableStyleMedium2" defaultPivotStyle="PivotStyleLight16">
    <tableStyle name="Estilo" pivot="0" table="0" count="1" xr9:uid="{C812E126-8192-4B94-A5BE-6D460217CEF9}">
      <tableStyleElement type="wholeTable" dxfId="87"/>
    </tableStyle>
    <tableStyle name="Estilo de segmentación de datos 1" pivot="0" table="0" count="1" xr9:uid="{F098F9B3-8689-49A9-B628-1A5479A783E7}"/>
    <tableStyle name="Estilo de segmentación de datos 2" pivot="0" table="0" count="1" xr9:uid="{2B4E8BB8-2ED7-425E-A598-01B66A9597BC}"/>
  </tableStyles>
  <colors>
    <mruColors>
      <color rgb="FFF8F4FA"/>
      <color rgb="FFE7E5E7"/>
      <color rgb="FFFFFFFF"/>
      <color rgb="FFF3F3F3"/>
    </mruColors>
  </colors>
  <extLst>
    <ext xmlns:x14="http://schemas.microsoft.com/office/spreadsheetml/2009/9/main" uri="{46F421CA-312F-682f-3DD2-61675219B42D}">
      <x14:dxfs count="2">
        <dxf>
          <fill>
            <patternFill>
              <bgColor theme="4" tint="0.79998168889431442"/>
            </patternFill>
          </fill>
        </dxf>
        <dxf>
          <font>
            <b val="0"/>
            <i/>
          </font>
        </dxf>
      </x14:dxfs>
    </ext>
    <ext xmlns:x14="http://schemas.microsoft.com/office/spreadsheetml/2009/9/main" uri="{EB79DEF2-80B8-43e5-95BD-54CBDDF9020C}">
      <x14:slicerStyles defaultSlicerStyle="SlicerStyleLight1">
        <x14:slicerStyle name="Estilo"/>
        <x14:slicerStyle name="Estilo de segmentación de datos 1">
          <x14:slicerStyleElements>
            <x14:slicerStyleElement type="selectedItemWithData" dxfId="1"/>
          </x14:slicerStyleElements>
        </x14:slicerStyle>
        <x14:slicerStyle name="Estilo de segmentación de datos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1.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06729927989768E-2"/>
          <c:y val="2.6205450733752619E-2"/>
          <c:w val="0.90291784440406486"/>
          <c:h val="0.93710691823899372"/>
        </c:manualLayout>
      </c:layout>
      <c:areaChart>
        <c:grouping val="standard"/>
        <c:varyColors val="0"/>
        <c:ser>
          <c:idx val="0"/>
          <c:order val="0"/>
          <c:tx>
            <c:strRef>
              <c:f>Tablas!$A$7</c:f>
              <c:strCache>
                <c:ptCount val="1"/>
                <c:pt idx="0">
                  <c:v>Rentabilidad</c:v>
                </c:pt>
              </c:strCache>
            </c:strRef>
          </c:tx>
          <c:spPr>
            <a:solidFill>
              <a:schemeClr val="accent1"/>
            </a:solidFill>
            <a:ln w="25400">
              <a:noFill/>
            </a:ln>
            <a:effectLst/>
          </c:spPr>
          <c:cat>
            <c:strRef>
              <c:f>Tablas!$A$9:$A$13</c:f>
              <c:strCache>
                <c:ptCount val="5"/>
                <c:pt idx="0">
                  <c:v>ENERO</c:v>
                </c:pt>
                <c:pt idx="1">
                  <c:v>FEBRERO</c:v>
                </c:pt>
                <c:pt idx="2">
                  <c:v>MARZO</c:v>
                </c:pt>
                <c:pt idx="3">
                  <c:v>ABRIL</c:v>
                </c:pt>
                <c:pt idx="4">
                  <c:v>MAYO</c:v>
                </c:pt>
              </c:strCache>
            </c:strRef>
          </c:cat>
          <c:val>
            <c:numRef>
              <c:f>Tablas!$L$9:$L$13</c:f>
              <c:numCache>
                <c:formatCode>0%</c:formatCode>
                <c:ptCount val="5"/>
                <c:pt idx="0">
                  <c:v>0.64101215348421858</c:v>
                </c:pt>
                <c:pt idx="1">
                  <c:v>-0.11503682783524584</c:v>
                </c:pt>
                <c:pt idx="2">
                  <c:v>-0.26226020975754255</c:v>
                </c:pt>
                <c:pt idx="3">
                  <c:v>-0.36375547852508716</c:v>
                </c:pt>
                <c:pt idx="4">
                  <c:v>0.21420985237015064</c:v>
                </c:pt>
              </c:numCache>
            </c:numRef>
          </c:val>
          <c:extLst>
            <c:ext xmlns:c16="http://schemas.microsoft.com/office/drawing/2014/chart" uri="{C3380CC4-5D6E-409C-BE32-E72D297353CC}">
              <c16:uniqueId val="{00000000-D4DA-4D32-8C1D-BE52A6D82F3C}"/>
            </c:ext>
          </c:extLst>
        </c:ser>
        <c:dLbls>
          <c:showLegendKey val="0"/>
          <c:showVal val="0"/>
          <c:showCatName val="0"/>
          <c:showSerName val="0"/>
          <c:showPercent val="0"/>
          <c:showBubbleSize val="0"/>
        </c:dLbls>
        <c:axId val="1385420607"/>
        <c:axId val="1385421855"/>
      </c:areaChart>
      <c:catAx>
        <c:axId val="1385420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85421855"/>
        <c:crosses val="autoZero"/>
        <c:auto val="1"/>
        <c:lblAlgn val="ctr"/>
        <c:lblOffset val="100"/>
        <c:noMultiLvlLbl val="0"/>
      </c:catAx>
      <c:valAx>
        <c:axId val="1385421855"/>
        <c:scaling>
          <c:orientation val="minMax"/>
        </c:scaling>
        <c:delete val="1"/>
        <c:axPos val="l"/>
        <c:numFmt formatCode="0%" sourceLinked="1"/>
        <c:majorTickMark val="out"/>
        <c:minorTickMark val="none"/>
        <c:tickLblPos val="nextTo"/>
        <c:crossAx val="13854206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20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r>
              <a:rPr lang="en-US" sz="20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de crecimiento anual</a:t>
            </a:r>
          </a:p>
        </c:rich>
      </c:tx>
      <c:layout>
        <c:manualLayout>
          <c:xMode val="edge"/>
          <c:yMode val="edge"/>
          <c:x val="0.12410168021650747"/>
          <c:y val="3.2507646932407354E-2"/>
        </c:manualLayout>
      </c:layout>
      <c:overlay val="0"/>
      <c:spPr>
        <a:solidFill>
          <a:schemeClr val="accent1">
            <a:lumMod val="60000"/>
            <a:lumOff val="40000"/>
            <a:alpha val="33000"/>
          </a:schemeClr>
        </a:solidFill>
        <a:ln>
          <a:noFill/>
        </a:ln>
        <a:effectLst>
          <a:softEdge rad="38100"/>
        </a:effectLst>
      </c:spPr>
      <c:txPr>
        <a:bodyPr rot="0" spcFirstLastPara="1" vertOverflow="ellipsis" vert="horz" wrap="square" anchor="ctr" anchorCtr="1"/>
        <a:lstStyle/>
        <a:p>
          <a:pPr algn="l">
            <a:defRPr sz="20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endParaRPr lang="es-MX"/>
        </a:p>
      </c:txPr>
    </c:title>
    <c:autoTitleDeleted val="0"/>
    <c:plotArea>
      <c:layout>
        <c:manualLayout>
          <c:layoutTarget val="inner"/>
          <c:xMode val="edge"/>
          <c:yMode val="edge"/>
          <c:x val="8.1830226493253833E-3"/>
          <c:y val="0.1247974602885622"/>
          <c:w val="0.99107359982558085"/>
          <c:h val="0.7699968473179134"/>
        </c:manualLayout>
      </c:layout>
      <c:barChart>
        <c:barDir val="col"/>
        <c:grouping val="clustered"/>
        <c:varyColors val="0"/>
        <c:ser>
          <c:idx val="0"/>
          <c:order val="0"/>
          <c:tx>
            <c:strRef>
              <c:f>Tablas!$V$1</c:f>
              <c:strCache>
                <c:ptCount val="1"/>
                <c:pt idx="0">
                  <c:v>Cantidad 3</c:v>
                </c:pt>
              </c:strCache>
            </c:strRef>
          </c:tx>
          <c:spPr>
            <a:solidFill>
              <a:schemeClr val="tx2">
                <a:lumMod val="20000"/>
                <a:lumOff val="80000"/>
              </a:schemeClr>
            </a:solidFill>
            <a:ln>
              <a:noFill/>
            </a:ln>
            <a:effectLst/>
          </c:spPr>
          <c:invertIfNegative val="0"/>
          <c:cat>
            <c:strRef>
              <c:f>Tablas!$S$2:$S$12</c:f>
              <c:strCache>
                <c:ptCount val="10"/>
                <c:pt idx="0">
                  <c:v>CDMX</c:v>
                </c:pt>
                <c:pt idx="1">
                  <c:v>CAM</c:v>
                </c:pt>
                <c:pt idx="2">
                  <c:v>ACA</c:v>
                </c:pt>
                <c:pt idx="3">
                  <c:v>GDL</c:v>
                </c:pt>
                <c:pt idx="4">
                  <c:v>MTY</c:v>
                </c:pt>
                <c:pt idx="5">
                  <c:v>OAX</c:v>
                </c:pt>
                <c:pt idx="6">
                  <c:v>CUN</c:v>
                </c:pt>
                <c:pt idx="7">
                  <c:v>Qtza</c:v>
                </c:pt>
                <c:pt idx="8">
                  <c:v>MID</c:v>
                </c:pt>
                <c:pt idx="9">
                  <c:v>Otro</c:v>
                </c:pt>
              </c:strCache>
            </c:strRef>
          </c:cat>
          <c:val>
            <c:numRef>
              <c:f>Tablas!$V$2:$V$11</c:f>
              <c:numCache>
                <c:formatCode>0%</c:formatCode>
                <c:ptCount val="10"/>
                <c:pt idx="0">
                  <c:v>-0.39774142989186534</c:v>
                </c:pt>
                <c:pt idx="1">
                  <c:v>0.28429493780681325</c:v>
                </c:pt>
                <c:pt idx="2">
                  <c:v>9.0708181723377357E-2</c:v>
                </c:pt>
                <c:pt idx="3">
                  <c:v>0.40025046704609557</c:v>
                </c:pt>
                <c:pt idx="4">
                  <c:v>0.2033689743510757</c:v>
                </c:pt>
                <c:pt idx="5">
                  <c:v>-0.12639978447406697</c:v>
                </c:pt>
                <c:pt idx="6">
                  <c:v>-0.58678481646995251</c:v>
                </c:pt>
                <c:pt idx="7">
                  <c:v>4.2422897532935377E-2</c:v>
                </c:pt>
                <c:pt idx="8">
                  <c:v>0.22363589052766752</c:v>
                </c:pt>
                <c:pt idx="9">
                  <c:v>-0.17787614385870665</c:v>
                </c:pt>
              </c:numCache>
            </c:numRef>
          </c:val>
          <c:extLst>
            <c:ext xmlns:c16="http://schemas.microsoft.com/office/drawing/2014/chart" uri="{C3380CC4-5D6E-409C-BE32-E72D297353CC}">
              <c16:uniqueId val="{00000000-3E07-4E61-8959-B22E530D0DA6}"/>
            </c:ext>
          </c:extLst>
        </c:ser>
        <c:ser>
          <c:idx val="1"/>
          <c:order val="1"/>
          <c:tx>
            <c:strRef>
              <c:f>Tablas!$U$1</c:f>
              <c:strCache>
                <c:ptCount val="1"/>
                <c:pt idx="0">
                  <c:v>Cantidad</c:v>
                </c:pt>
              </c:strCache>
            </c:strRef>
          </c:tx>
          <c:spPr>
            <a:solidFill>
              <a:schemeClr val="accent2"/>
            </a:solidFill>
            <a:ln>
              <a:noFill/>
            </a:ln>
            <a:effectLst/>
          </c:spPr>
          <c:invertIfNegative val="0"/>
          <c:cat>
            <c:strRef>
              <c:f>Tablas!$S$2:$S$12</c:f>
              <c:strCache>
                <c:ptCount val="10"/>
                <c:pt idx="0">
                  <c:v>CDMX</c:v>
                </c:pt>
                <c:pt idx="1">
                  <c:v>CAM</c:v>
                </c:pt>
                <c:pt idx="2">
                  <c:v>ACA</c:v>
                </c:pt>
                <c:pt idx="3">
                  <c:v>GDL</c:v>
                </c:pt>
                <c:pt idx="4">
                  <c:v>MTY</c:v>
                </c:pt>
                <c:pt idx="5">
                  <c:v>OAX</c:v>
                </c:pt>
                <c:pt idx="6">
                  <c:v>CUN</c:v>
                </c:pt>
                <c:pt idx="7">
                  <c:v>Qtza</c:v>
                </c:pt>
                <c:pt idx="8">
                  <c:v>MID</c:v>
                </c:pt>
                <c:pt idx="9">
                  <c:v>Otro</c:v>
                </c:pt>
              </c:strCache>
            </c:strRef>
          </c:cat>
          <c:val>
            <c:numRef>
              <c:f>Tablas!$U$2:$U$11</c:f>
              <c:numCache>
                <c:formatCode>0%</c:formatCode>
                <c:ptCount val="10"/>
                <c:pt idx="0">
                  <c:v>0</c:v>
                </c:pt>
                <c:pt idx="1">
                  <c:v>0</c:v>
                </c:pt>
                <c:pt idx="2">
                  <c:v>0</c:v>
                </c:pt>
                <c:pt idx="3">
                  <c:v>0</c:v>
                </c:pt>
                <c:pt idx="4">
                  <c:v>0</c:v>
                </c:pt>
                <c:pt idx="5">
                  <c:v>0</c:v>
                </c:pt>
                <c:pt idx="6">
                  <c:v>0</c:v>
                </c:pt>
                <c:pt idx="7">
                  <c:v>0</c:v>
                </c:pt>
                <c:pt idx="8">
                  <c:v>0</c:v>
                </c:pt>
                <c:pt idx="9">
                  <c:v>-0.17787614385870665</c:v>
                </c:pt>
              </c:numCache>
            </c:numRef>
          </c:val>
          <c:extLst>
            <c:ext xmlns:c16="http://schemas.microsoft.com/office/drawing/2014/chart" uri="{C3380CC4-5D6E-409C-BE32-E72D297353CC}">
              <c16:uniqueId val="{00000001-3E07-4E61-8959-B22E530D0DA6}"/>
            </c:ext>
          </c:extLst>
        </c:ser>
        <c:dLbls>
          <c:showLegendKey val="0"/>
          <c:showVal val="0"/>
          <c:showCatName val="0"/>
          <c:showSerName val="0"/>
          <c:showPercent val="0"/>
          <c:showBubbleSize val="0"/>
        </c:dLbls>
        <c:gapWidth val="100"/>
        <c:overlap val="100"/>
        <c:axId val="1238282943"/>
        <c:axId val="710569903"/>
      </c:barChart>
      <c:catAx>
        <c:axId val="123828294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0"/>
          <a:lstStyle/>
          <a:p>
            <a:pPr>
              <a:defRPr sz="900" b="0" i="0" u="none" strike="noStrike" kern="1200" baseline="0">
                <a:ln>
                  <a:solidFill>
                    <a:schemeClr val="tx1"/>
                  </a:solidFill>
                </a:ln>
                <a:solidFill>
                  <a:schemeClr val="tx1"/>
                </a:solidFill>
                <a:latin typeface="+mn-lt"/>
                <a:ea typeface="+mn-ea"/>
                <a:cs typeface="+mn-cs"/>
              </a:defRPr>
            </a:pPr>
            <a:endParaRPr lang="es-MX"/>
          </a:p>
        </c:txPr>
        <c:crossAx val="710569903"/>
        <c:crosses val="autoZero"/>
        <c:auto val="1"/>
        <c:lblAlgn val="ctr"/>
        <c:lblOffset val="100"/>
        <c:noMultiLvlLbl val="0"/>
      </c:catAx>
      <c:valAx>
        <c:axId val="710569903"/>
        <c:scaling>
          <c:orientation val="minMax"/>
        </c:scaling>
        <c:delete val="1"/>
        <c:axPos val="l"/>
        <c:numFmt formatCode="0%" sourceLinked="1"/>
        <c:majorTickMark val="none"/>
        <c:minorTickMark val="none"/>
        <c:tickLblPos val="nextTo"/>
        <c:crossAx val="1238282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s-MX"/>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26719160104986E-2"/>
          <c:y val="4.945598417408506E-3"/>
          <c:w val="0.94123931623931623"/>
          <c:h val="0.89119683481701284"/>
        </c:manualLayout>
      </c:layout>
      <c:areaChart>
        <c:grouping val="standard"/>
        <c:varyColors val="0"/>
        <c:ser>
          <c:idx val="0"/>
          <c:order val="0"/>
          <c:tx>
            <c:strRef>
              <c:f>Tablas!$A$30</c:f>
              <c:strCache>
                <c:ptCount val="1"/>
                <c:pt idx="0">
                  <c:v>ACA</c:v>
                </c:pt>
              </c:strCache>
            </c:strRef>
          </c:tx>
          <c:spPr>
            <a:solidFill>
              <a:schemeClr val="accent1"/>
            </a:solidFill>
            <a:ln w="25400">
              <a:noFill/>
            </a:ln>
            <a:effectLst/>
          </c:spPr>
          <c:cat>
            <c:strRef>
              <c:f>Tablas!$B$18:$M$18</c:f>
              <c:strCache>
                <c:ptCount val="5"/>
                <c:pt idx="0">
                  <c:v>ENERO</c:v>
                </c:pt>
                <c:pt idx="1">
                  <c:v>FEBRERO</c:v>
                </c:pt>
                <c:pt idx="2">
                  <c:v>MARZO</c:v>
                </c:pt>
                <c:pt idx="3">
                  <c:v>ABRIL</c:v>
                </c:pt>
                <c:pt idx="4">
                  <c:v>MAYO</c:v>
                </c:pt>
              </c:strCache>
            </c:strRef>
          </c:cat>
          <c:val>
            <c:numRef>
              <c:f>Tablas!$B$30:$F$30</c:f>
              <c:numCache>
                <c:formatCode>General</c:formatCode>
                <c:ptCount val="5"/>
                <c:pt idx="0">
                  <c:v>2181525.3500231742</c:v>
                </c:pt>
                <c:pt idx="1">
                  <c:v>1863307.5243999837</c:v>
                </c:pt>
                <c:pt idx="2">
                  <c:v>1203637.6919999933</c:v>
                </c:pt>
                <c:pt idx="3">
                  <c:v>1062832.6696000062</c:v>
                </c:pt>
                <c:pt idx="4">
                  <c:v>483607.47999999463</c:v>
                </c:pt>
              </c:numCache>
            </c:numRef>
          </c:val>
          <c:extLst>
            <c:ext xmlns:c16="http://schemas.microsoft.com/office/drawing/2014/chart" uri="{C3380CC4-5D6E-409C-BE32-E72D297353CC}">
              <c16:uniqueId val="{0000000A-4088-48A2-A7A9-C9C686210257}"/>
            </c:ext>
          </c:extLst>
        </c:ser>
        <c:dLbls>
          <c:showLegendKey val="0"/>
          <c:showVal val="0"/>
          <c:showCatName val="0"/>
          <c:showSerName val="0"/>
          <c:showPercent val="0"/>
          <c:showBubbleSize val="0"/>
        </c:dLbls>
        <c:axId val="2088208911"/>
        <c:axId val="2088213071"/>
      </c:areaChart>
      <c:catAx>
        <c:axId val="2088208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88213071"/>
        <c:crosses val="autoZero"/>
        <c:auto val="1"/>
        <c:lblAlgn val="ctr"/>
        <c:lblOffset val="100"/>
        <c:noMultiLvlLbl val="0"/>
      </c:catAx>
      <c:valAx>
        <c:axId val="2088213071"/>
        <c:scaling>
          <c:orientation val="minMax"/>
        </c:scaling>
        <c:delete val="1"/>
        <c:axPos val="l"/>
        <c:numFmt formatCode="General" sourceLinked="1"/>
        <c:majorTickMark val="out"/>
        <c:minorTickMark val="none"/>
        <c:tickLblPos val="nextTo"/>
        <c:crossAx val="208820891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Tablas!$P$28</c:f>
              <c:strCache>
                <c:ptCount val="1"/>
                <c:pt idx="0">
                  <c:v>2021</c:v>
                </c:pt>
              </c:strCache>
            </c:strRef>
          </c:tx>
          <c:spPr>
            <a:ln w="28575" cap="rnd">
              <a:solidFill>
                <a:srgbClr val="002060"/>
              </a:solidFill>
              <a:round/>
            </a:ln>
            <a:effectLst/>
          </c:spPr>
          <c:marker>
            <c:symbol val="circle"/>
            <c:size val="5"/>
            <c:spPr>
              <a:solidFill>
                <a:schemeClr val="accent2">
                  <a:lumMod val="50000"/>
                </a:schemeClr>
              </a:solidFill>
              <a:ln w="9525">
                <a:solidFill>
                  <a:srgbClr val="002060"/>
                </a:solidFill>
              </a:ln>
              <a:effectLst/>
            </c:spPr>
          </c:marker>
          <c:dLbls>
            <c:dLbl>
              <c:idx val="0"/>
              <c:layout>
                <c:manualLayout>
                  <c:x val="-3.51769243130323E-2"/>
                  <c:y val="8.36485845173412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CE-4E1C-B7E8-D8259F0B091C}"/>
                </c:ext>
              </c:extLst>
            </c:dLbl>
            <c:dLbl>
              <c:idx val="1"/>
              <c:layout>
                <c:manualLayout>
                  <c:x val="2.0435374149659839E-2"/>
                  <c:y val="4.6748215513651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CE-4E1C-B7E8-D8259F0B091C}"/>
                </c:ext>
              </c:extLst>
            </c:dLbl>
            <c:dLbl>
              <c:idx val="2"/>
              <c:layout>
                <c:manualLayout>
                  <c:x val="-2.9222132947667255E-2"/>
                  <c:y val="5.81103330718346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CE-4E1C-B7E8-D8259F0B091C}"/>
                </c:ext>
              </c:extLst>
            </c:dLbl>
            <c:dLbl>
              <c:idx val="3"/>
              <c:layout>
                <c:manualLayout>
                  <c:x val="-5.0469441319835023E-2"/>
                  <c:y val="-4.5502706995574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CE-4E1C-B7E8-D8259F0B091C}"/>
                </c:ext>
              </c:extLst>
            </c:dLbl>
            <c:dLbl>
              <c:idx val="4"/>
              <c:layout>
                <c:manualLayout>
                  <c:x val="-2.5653114789222775E-2"/>
                  <c:y val="4.0598154013036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83-440E-BDA8-D622AC94FFF7}"/>
                </c:ext>
              </c:extLst>
            </c:dLbl>
            <c:dLbl>
              <c:idx val="5"/>
              <c:layout>
                <c:manualLayout>
                  <c:x val="-4.4700733836841824E-2"/>
                  <c:y val="-8.24030759992639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83-440E-BDA8-D622AC94FFF7}"/>
                </c:ext>
              </c:extLst>
            </c:dLbl>
            <c:dLbl>
              <c:idx val="6"/>
              <c:layout>
                <c:manualLayout>
                  <c:x val="-3.51769243130323E-2"/>
                  <c:y val="-4.85777377458813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83-440E-BDA8-D622AC94FFF7}"/>
                </c:ext>
              </c:extLst>
            </c:dLbl>
            <c:dLbl>
              <c:idx val="8"/>
              <c:layout>
                <c:manualLayout>
                  <c:x val="-3.9258556966093525E-2"/>
                  <c:y val="-7.62530144986489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83-440E-BDA8-D622AC94FFF7}"/>
                </c:ext>
              </c:extLst>
            </c:dLbl>
            <c:dLbl>
              <c:idx val="10"/>
              <c:layout>
                <c:manualLayout>
                  <c:x val="-4.6061278054528795E-2"/>
                  <c:y val="5.5973307764573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83-440E-BDA8-D622AC94FF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effectLst>
                      <a:glow rad="139700">
                        <a:schemeClr val="accent3">
                          <a:satMod val="175000"/>
                          <a:alpha val="40000"/>
                        </a:schemeClr>
                      </a:glow>
                    </a:effectLst>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Tablas!$O$29:$O$40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Tablas!$P$29:$P$40</c:f>
              <c:numCache>
                <c:formatCode>"$"\ #,###.0,\ "K"</c:formatCode>
                <c:ptCount val="12"/>
                <c:pt idx="0">
                  <c:v>79521840.847199991</c:v>
                </c:pt>
                <c:pt idx="1">
                  <c:v>77047188.935200393</c:v>
                </c:pt>
                <c:pt idx="2">
                  <c:v>51587914.054001391</c:v>
                </c:pt>
                <c:pt idx="3">
                  <c:v>55574998.288399994</c:v>
                </c:pt>
                <c:pt idx="4">
                  <c:v>39921671.090000004</c:v>
                </c:pt>
                <c:pt idx="5">
                  <c:v>46512449.58679992</c:v>
                </c:pt>
                <c:pt idx="6">
                  <c:v>55562816.138000354</c:v>
                </c:pt>
                <c:pt idx="7">
                  <c:v>77227044.683213711</c:v>
                </c:pt>
                <c:pt idx="8">
                  <c:v>52928219.060400069</c:v>
                </c:pt>
                <c:pt idx="9">
                  <c:v>47270019.940799072</c:v>
                </c:pt>
                <c:pt idx="10">
                  <c:v>51178222.769600704</c:v>
                </c:pt>
                <c:pt idx="11">
                  <c:v>73056764.236399889</c:v>
                </c:pt>
              </c:numCache>
            </c:numRef>
          </c:val>
          <c:smooth val="0"/>
          <c:extLst>
            <c:ext xmlns:c16="http://schemas.microsoft.com/office/drawing/2014/chart" uri="{C3380CC4-5D6E-409C-BE32-E72D297353CC}">
              <c16:uniqueId val="{00000000-4ECE-4E1C-B7E8-D8259F0B091C}"/>
            </c:ext>
          </c:extLst>
        </c:ser>
        <c:ser>
          <c:idx val="1"/>
          <c:order val="1"/>
          <c:tx>
            <c:strRef>
              <c:f>Tablas!$Q$28</c:f>
              <c:strCache>
                <c:ptCount val="1"/>
                <c:pt idx="0">
                  <c:v>2022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4.4700733836841824E-2"/>
                  <c:y val="-7.7498280888320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CE-4E1C-B7E8-D8259F0B091C}"/>
                </c:ext>
              </c:extLst>
            </c:dLbl>
            <c:dLbl>
              <c:idx val="1"/>
              <c:layout>
                <c:manualLayout>
                  <c:x val="-0.11033338689806631"/>
                  <c:y val="-2.21477273827856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CE-4E1C-B7E8-D8259F0B091C}"/>
                </c:ext>
              </c:extLst>
            </c:dLbl>
            <c:dLbl>
              <c:idx val="2"/>
              <c:layout>
                <c:manualLayout>
                  <c:x val="-0.11661545878193798"/>
                  <c:y val="-3.0435056319067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CE-4E1C-B7E8-D8259F0B091C}"/>
                </c:ext>
              </c:extLst>
            </c:dLbl>
            <c:dLbl>
              <c:idx val="3"/>
              <c:layout>
                <c:manualLayout>
                  <c:x val="-5.4551073972896248E-2"/>
                  <c:y val="-2.8297788883400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CE-4E1C-B7E8-D8259F0B091C}"/>
                </c:ext>
              </c:extLst>
            </c:dLbl>
            <c:dLbl>
              <c:idx val="4"/>
              <c:layout>
                <c:manualLayout>
                  <c:x val="-4.8782366489903049E-2"/>
                  <c:y val="-0.126698772893240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83-440E-BDA8-D622AC94FF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effectLst>
                      <a:glow rad="101600">
                        <a:schemeClr val="accent1">
                          <a:lumMod val="75000"/>
                          <a:alpha val="60000"/>
                        </a:schemeClr>
                      </a:glow>
                    </a:effectLst>
                    <a:latin typeface="+mn-lt"/>
                    <a:ea typeface="+mn-ea"/>
                    <a:cs typeface="+mn-cs"/>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Tablas!$O$29:$O$40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Tablas!$Q$29:$Q$33</c:f>
              <c:numCache>
                <c:formatCode>"$"\ #,###.0,\ "K"</c:formatCode>
                <c:ptCount val="5"/>
                <c:pt idx="0">
                  <c:v>94724549.227952212</c:v>
                </c:pt>
                <c:pt idx="1">
                  <c:v>55661247.845599689</c:v>
                </c:pt>
                <c:pt idx="2">
                  <c:v>42486477.44079975</c:v>
                </c:pt>
                <c:pt idx="3">
                  <c:v>35678026.421600111</c:v>
                </c:pt>
                <c:pt idx="4">
                  <c:v>29247273.790399849</c:v>
                </c:pt>
              </c:numCache>
            </c:numRef>
          </c:val>
          <c:smooth val="0"/>
          <c:extLst>
            <c:ext xmlns:c16="http://schemas.microsoft.com/office/drawing/2014/chart" uri="{C3380CC4-5D6E-409C-BE32-E72D297353CC}">
              <c16:uniqueId val="{00000001-4ECE-4E1C-B7E8-D8259F0B091C}"/>
            </c:ext>
          </c:extLst>
        </c:ser>
        <c:dLbls>
          <c:showLegendKey val="0"/>
          <c:showVal val="0"/>
          <c:showCatName val="0"/>
          <c:showSerName val="0"/>
          <c:showPercent val="0"/>
          <c:showBubbleSize val="0"/>
        </c:dLbls>
        <c:marker val="1"/>
        <c:smooth val="0"/>
        <c:axId val="286536319"/>
        <c:axId val="286534655"/>
      </c:lineChart>
      <c:catAx>
        <c:axId val="286536319"/>
        <c:scaling>
          <c:orientation val="minMax"/>
        </c:scaling>
        <c:delete val="1"/>
        <c:axPos val="b"/>
        <c:numFmt formatCode="General" sourceLinked="1"/>
        <c:majorTickMark val="out"/>
        <c:minorTickMark val="none"/>
        <c:tickLblPos val="nextTo"/>
        <c:crossAx val="286534655"/>
        <c:crosses val="autoZero"/>
        <c:auto val="1"/>
        <c:lblAlgn val="ctr"/>
        <c:lblOffset val="100"/>
        <c:noMultiLvlLbl val="0"/>
      </c:catAx>
      <c:valAx>
        <c:axId val="286534655"/>
        <c:scaling>
          <c:orientation val="minMax"/>
        </c:scaling>
        <c:delete val="1"/>
        <c:axPos val="l"/>
        <c:numFmt formatCode="&quot;$&quot;\ #,###.0,\ &quot;K&quot;" sourceLinked="1"/>
        <c:majorTickMark val="out"/>
        <c:minorTickMark val="none"/>
        <c:tickLblPos val="nextTo"/>
        <c:crossAx val="28653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f>_xlchart.v5.3</cx:nf>
      </cx:numDim>
    </cx:data>
  </cx:chartData>
  <cx:chart>
    <cx:plotArea>
      <cx:plotAreaRegion>
        <cx:plotSurface>
          <cx:spPr>
            <a:noFill/>
            <a:ln>
              <a:noFill/>
            </a:ln>
            <a:effectLst/>
          </cx:spPr>
        </cx:plotSurface>
        <cx:series layoutId="regionMap" uniqueId="{75DC7EDA-22A8-4259-ABBE-11AE260CA357}">
          <cx:tx>
            <cx:txData>
              <cx:f>_xlchart.v5.1</cx:f>
              <cx:v>México</cx:v>
            </cx:txData>
          </cx:tx>
          <cx:dataLabels>
            <cx:spPr>
              <a:effectLst/>
            </cx:spPr>
            <cx:txPr>
              <a:bodyPr spcFirstLastPara="1" vertOverflow="ellipsis" horzOverflow="overflow" wrap="square" lIns="0" tIns="0" rIns="0" bIns="0" anchor="ctr" anchorCtr="1"/>
              <a:lstStyle/>
              <a:p>
                <a:pPr algn="ctr" rtl="0">
                  <a:defRPr sz="4800" b="1">
                    <a:ln>
                      <a:solidFill>
                        <a:schemeClr val="bg1"/>
                      </a:solidFill>
                    </a:ln>
                    <a:noFill/>
                    <a:effectLst>
                      <a:glow rad="228600">
                        <a:schemeClr val="accent2">
                          <a:satMod val="175000"/>
                          <a:alpha val="40000"/>
                        </a:schemeClr>
                      </a:glow>
                    </a:effectLst>
                  </a:defRPr>
                </a:pPr>
                <a:endParaRPr lang="es-ES" sz="4800" b="1" i="0" u="none" strike="noStrike" baseline="0">
                  <a:ln>
                    <a:solidFill>
                      <a:schemeClr val="bg1"/>
                    </a:solidFill>
                  </a:ln>
                  <a:noFill/>
                  <a:effectLst>
                    <a:glow rad="228600">
                      <a:schemeClr val="accent2">
                        <a:satMod val="175000"/>
                        <a:alpha val="40000"/>
                      </a:schemeClr>
                    </a:glow>
                  </a:effectLst>
                  <a:latin typeface="Calibri" panose="020F0502020204030204"/>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sz="1200">
                      <a:solidFill>
                        <a:schemeClr val="bg1"/>
                      </a:solidFill>
                      <a:effectLst>
                        <a:outerShdw blurRad="50800" dist="38100" dir="2700000" algn="tl" rotWithShape="0">
                          <a:prstClr val="black">
                            <a:alpha val="40000"/>
                          </a:prstClr>
                        </a:outerShdw>
                      </a:effectLst>
                    </a:defRPr>
                  </a:pPr>
                  <a:r>
                    <a:rPr lang="es-ES" sz="1200" b="0" i="0" u="none" strike="noStrike" baseline="0">
                      <a:solidFill>
                        <a:schemeClr val="bg1"/>
                      </a:solidFill>
                      <a:effectLst>
                        <a:outerShdw blurRad="50800" dist="38100" dir="2700000" algn="tl" rotWithShape="0">
                          <a:prstClr val="black">
                            <a:alpha val="40000"/>
                          </a:prstClr>
                        </a:outerShdw>
                      </a:effectLst>
                      <a:latin typeface="Calibri" panose="020F0502020204030204"/>
                    </a:rPr>
                    <a:t>$ 257,797.6 K</a:t>
                  </a:r>
                </a:p>
              </cx:txPr>
            </cx:dataLabel>
          </cx:dataLabels>
          <cx:dataId val="0"/>
          <cx:layoutPr>
            <cx:regionLabelLayout val="showAll"/>
            <cx:geography cultureLanguage="es-ES" cultureRegion="MX" attribution="Con tecnología de Bing">
              <cx:geoCache provider="{E9337A44-BEBE-4D9F-B70C-5C5E7DAFC167}">
                <cx:binary>jHrZktw4ku2vyPQ8rMJGAGzrmgeuwVgyIiMXKfVCS6WySJAgwQVc/2i+4/7Y9cyuqVap29QjmTEj
yAAIOtyPHz/Ov78sf3vRr8/9h6XWzfC3l+W3j4W17d9+/XV4KV7r5+GXWr30ZjC/219eTP2r+f13
9fL667f+eVZN/itBmP36Ujz39nX5+N9/h9nyV3M0L89WmeZ2fO3X6+swajv85Nq/vfThxYyNfRue
w0y/fTz9v/9Z1Iv5+OG1scqu92v7+tvHv/zm44dff5zpX+76QcPC7PgNxhL6i0ep62FJvfd/8uMH
bZr8j8sORuQXF3n87f//3vXmuYaR/4elvC/k+du3/nUYPvzx97uBf1n3d+fVYIJ/PHZg3tZ4+vz+
UL/+1az//fcfTsBj/nDmO8v/7Nqf9gmf7XP0btjvRv786v/a+oehP9uff2xd+u23j5iDTf/crrcp
/hj3by3854jX58H+9tGR/BdBMOVcSkIJI9j7+GF+fb+EsfyFCpdJxF0sXZeJjx8a09vit4+U/CIw
F64URCIiKGMfPwxmfLuE2S8upYx7BCFMGRHiT1++GL3mpvnTFn98/9CM9cWoxg6/fXTRxw/tP372
tlIXCUoo5QhxjhkhSMKN2pfnK8QL/Br/V08nrJqm6E6mbmmUzyyckLbXelzstRqoT3txKQRbTkyo
9R8H/ucnSrcucG3uBPM2JWt1U06beikcvgaEe+N50xTtPZp3MbJIP84se8i1iSorR88fiCInF4vi
YIky/lz39k66zXypmRsurfD8Wk8oom93y9q+3226m4JtrG50NbDXUi/p1KztF6GGPW+6AxJFX4fu
KopkFHPh5942nPmE2tgsqgnU29diXK7fbfa/MSBG+EcLwsZRJgRnrvQop+At31tQzUoXlW2no+Jq
G8NVm+7cOH0RjsUid5YM9anL2sGfqeh8imx9yapqu6lrJf0pL8dw6VVR7TnP3SGW30hWfC1Q0Vyy
ldQXj9XTvmIyqfICH1uu1tBDSxeot6+KjcZvRdkcVjaJQ6WQDsaso59Qp5zAis23vdGfHXWeV9E+
NaRRabfJPqrrro1Kt8YJsa70RUXw7TQ5805bV/mmKLqD7cr2OJi18LfB7kbiOsetVutlLehyQZ5q
wmwhW0ScOShXM/kOrarb3K5LIisz7QvaNicK4yM1e4d8JOjksGUJm7Gfr++fVEvna7MmU53JwHac
PFrNKp+Q3HuZ8yISnha5T1Ud9WSb95kjRdDq0j0LVMdb6WyHZlhNnE/boaxEff9+mEec9rT0zoaN
lW8nMSQKjH8YttKGY6vWL1Oep2X34GStfGVyDEy/KOUXWe+PZMa/b3q4yNWxz9rOg99NK36clHKD
hS9z+HPP+dfQk1QQVyJXIP5vHIcg6lo8a3ykW0tQ0NeZ9ceOFncTt+XZbjrO7FjOfkY8dXBMhr7S
xRkCndfj3uOL64/1NN1jmuPLVJLk/RvzcBeyclrCvGj44KNJ8gc9kSeMRLn6SK+Lz/RU976pVXeY
ok6V/HVqW+M7PSb3djsjNamgn1v6QHk/pTTzcDCxiTyUnZzSuXNxMNtoJsafCrXHuPOk33IhDspt
X2ZBsQg2B6aopTAhZ80aZOuGjpms8RGLx58bUfwYfZ7nui4hkBldjgnmP+BXRTUjLXXbP6IPZ9y9
NnjOwy7L2GnTqD2RojahNYycitKqJbE02+JZCXQdncULlMJ1IrIaX9/Pia/LoOzVasCwcmvOqMth
h4g4iR73ty6ZzQVXFEJ1lcWzN1V1SiZOHiq3EAErTRc2TTkBmln3vmfos6KrBhDwVFQwx7vMLJBK
9LfZ26Fv1BZgu8FkjVw9X6vAqqp+2bYKEBWX14kqdDDEsEjPU3lBlRz8qePLZVm2PiVr1YdU5O2n
sdRuWKyK7KqGBzOl6LFvNn90lfrqsGYMNzevj0SwXYXy6aQds6ZOaV/zN5zx3nDm/ZOR06sh+Zqa
uT39fJ/YD/sEDMWTSELm8jDmcPwBJbFZMXMWgg8Z7rvD2q9PbLb170KUvnSG6ls5F6svZe3eOZYv
Psmt8CvmtTHsfvtJ41YHZabWgy6l+WR7JyVdQCZ3Os9Dzu+2bcahHYyIXWbOasUIBZ0tDrVwmhsr
2Z2LqUld7jNJs6cuN9LPVLfeUN4u+yJnddDiHZdudsPxvJ3fD4U05dFDeCcmAaeqke/+g02AtX2f
ezGiEruulFJAHn778NfM0agiWzTc66D0t2ak6sRzNAV6YFvYScOD3rp5PNPCvZvNpKJlwn08M9eJ
sNlMAuhBH1xTfCr6ob5ABK6+p8f2pDdCP3ERVWXzzXpy2TmDNidl3HzxZTuZkxxnlm6Ebw+au23s
Te6wx6buLgZ8Lqh5xV9W70nknf7qcqcMnUHlidMj4yvkzSdtIGhoY9av9Uj8pcvrL23LSdT387Sn
rvFuHce2/jy4y1dSbw/UEf8BORn5V8MJcCGOBHI5keSN1HxHWprNOLwpV3vAzOjzkhEAw2HRTZhr
i7+uupP+QB0nNN1S3PUVmwKA/trH1BmuK6FZIJjJk27p7dUT7NPsVU1Iad/drJVqw1nM3kOtmPTl
OszB5vIZgISaHesq5sulav1K0u2+7tYiLpwqP/aQMiN3dMtYL6iKutyawGvscvRqBHmyL4/V26ZM
o/QLm08PfLWrn7OBRhtb83AkPPv6c98i9F9M5LnMkxBqQEmY+yMu1g1rpqGZuwOXTRW3Vs5XKfjR
mNL5RGZtUms1CcnMZ79b6jr0DKSWahuzF7WnDFXf+mVsg6xH6sLzogWcz5e45fqBkyGRPc2137PK
7FdgI1tg8hLFP38C9m+eAHIjBlj3CMOeBOL8/SbTtdVARNr6IBHwvtqKCC1Td7U1IQ/Z5kUOK7ur
du2eM8/eaE/eV9u8fpG5l4d6pGvYc3Dnvly22w7N2sd62p5ZLoyPbd/ceo3WRyFFG25dFeCx8b2a
djdE5YEiVXP55wEoiwxq3IqowG4N6B/SHjk3/yCUYnjAg5el3lp04VoVNqlERm8KoZ3YrevNd7uW
3eR2fPi5eejb439H3LELNQAkPOkRgI+3cuCv5umynMuckWXfzDPeLc4y3NKVFokmevEn7gUDgEaI
N+4GruvMp2GkbVjkQ59K5Ky+tb147CvVB6Mp7b3TZE1oHFeG2zzU58otd0aX9Bsh/K7U3frszA2Q
s7pAnxulha88bZPGpXOEM4izvmSfNzGuMdypTpfW1LfYU8lIxBF7OX1oakhab99IgWD3JK/8n5uD
uD+agzEmJGHg6gRMw96ufwcJDmeaeuvQ7bmDyyWB1JrfrCysZ8e9tsXsD3ItsM+LqoqNnKWPRW9u
tq3/nQgs/RlpGmi19MkINflVNyOUQEMFGcYJhJTtJ2Mo/1ZvKwmmsXgp11ZKf3TWh0mz5j84Poay
7687yxgXUNpx4gGhIfwHdHPQCrtEm3afjTO+bdXzjOj2tDT9mQ6jSvqld+9ytTgH1tjCrzrr+lVe
50G7zM0YbJK0KQe48odanPiauSIcG2C6Pzc4xgS95ezvXRBqWoyxh10CIYbw+4N8Z/NBtUtmnHZK
3Ez7eqFh6XoPM/eBU1/IineFPY3mTqo27hTe9QKH/dYEmep9VumbifB9sS77DqvYIhPmtj2VIt9R
qf1ys3c9baPmLY+QAww9WoJvimW8UX3mt8P4xRT04Vzg4bli3ZnkWVoQeypneaoxIKo9kn7zeefz
p7kdI1PxG00qP+vyuGzkZ8swUC2VbHWe2ClLiswnNjs2HT7h7uxCOukduq/sHLfCiZU1EZnmfSEe
aFUHKwPMwNP9Rjrw/BqMDaGxtmoHlZi/8S3sqTjrqUkqSqOqz8O5evXKp1I+1esDVaHI/JEedJa6
7S5fom4JljtRBeXLWvk1D1F9kw0r8Lyzvhh42KKEvHvfu7/PcvYLIOpFluSQZYrhtnfOC3t0vAR7
Se99Rc5d1pf+KA902pe2DodiBzSickPNdgMPyjYUbiJn42fL5Ivci6m04RAos+7KBTargKJqIfGy
OZ+mrkoRK0NUobRlcIfhUJB5V2/olqMuaZWOXEOvGTf3k0tPeK2TlmnfY2leiZ1ax2gu1eRDytup
qUyQGG4Hve3JNkCdylKjxD1ThT9tmb+1FVR2s6+HIW6nw1DYwBVfcse5FKSJRf25zehJ4y3xyvE2
r1nYliwaBED6qOUdWvx2WnYuJbu+ooGLWA2MktyMisaqUn62DUDuVt81nz3TBkuq2eLn+AukN39D
he+Qy7J5Ps5rv80vQ/9YkcYvvMG3LPdFAZOp+XO+VpHczrosdmzMjsUly/PHfKPHvFDMn6v5dz2C
0uHxryqf0lwy38m9SEsbkGgZM8dnRsDdtpD3GZCC8bCu4C75IXsc8k+y1j519wt7cNvzMgVAI8gD
ywPKnmunCBXNA2f9Nq4GvEPEXm78qnSjSunA4M9jo0ATuZtoF3ha+qsTUajv2b3tn6rlofR2bf5l
4JfJ3k80lI9zruPBQma6VU4Rr2pvLQgBUeHtHa8PbHFDyCHvHtgGlUVWh7NnEyIOnWZB6aVbFo9q
L8CYGsqc7Ik/mXzP6EXjJ8gXfe2bL1MVDCaZh9g2na+xF7hDD7zJFD5z17e1ZLUNrSgC5aiU6gaw
Ig9VsYVt5cHkdTi5vd+jNkL94HM7XBxFknZ+RFV2I8YqkK+E2mSp0K5y17gkTvBeimVeVFrPz6na
Vdbdw194xDGcmiYqxjIEM6zEJA2zEWha0bDBr1REKAqQw0JXjymQpQB0nKSaWGKBSM5oSSm4f5WB
XFXemq7bN92UMOwGJW+iZZgC3oGy5I2po1EkJi90csev+vIgSuSv+ARsIx3K9kY2+MIznnZk9It+
Og6W7Kccxcyyu3wxyVqz5K1on2vI3RoFb6GdO03olHnAG+1v8xGzeMQuUO1IVql2znVx249R3gat
2Zti19FkG5OtS8sh2ZDf58cW+XmxJxAV27Hwvsz9Euj1kVQvCuM9t6Pf9G3kFTpxqRNOjL1peKdl
7cIi6/qgB4az1pOIWgi6w6IlGLsvH2shp3DAWfbUuHWisCEhndfhxFb7qpfFuQcai2OAGT27NCJd
Dcy74Le1QqNPKutDiqoSr56qeGvPpcyWuNfAV2ZHs7Sb8Bi6W/+1Mqu+KMznO2+Z066EEqwsXMCH
iWUp9hwVIlnvKerZta1W7g8ZShe1idRppIloWaCd2ArQMD31oAUbz53wUuqJBE+o+1zLbomHrKyS
3nhV2vaDDKkzPYEUhUGzO3sIjTFbhzZQ0kmKzk3I5PWfLXDl1MPKC3vdD58Rn1x/7UR9QnVDHrWb
++8/a+Uk9qtTSqANMCpfahTUagCVxTog9YkFEsx6KElhP81NT461Aa4pyvmRLry+NUs3hUDevHQh
bPrMgFXPw8wfFrltJzMz7OsKzZ9nb5HhQkaTgqZ3syC8XIchj9fC9uE2TktMFXjFMOV/HGg5yXip
y9P7ebN5TuWjPC/AsQYiErm6wIeGJUFrm7KJtfsyL1eITlcF7p8z9W7ld4SAxYbqS4ZWFEknw2Em
QQTqxxJFPK+eDVn+uOf7wPfD+7l/fn1f1j/PrVwmdQ4Bbpkx2i8UAjW55m2QO5mzRVTLZp+7b0VG
XUO9MZvKbIHo6VuabGT4fkm9XX8/FE0NK3n/2Ni3+sQMfA6WcSyDUtIGFETtJETRG+40STeiWI82
MjqLDKNp2d9ymLwu5v3EHZD7uI/dwrd4iYFjQ/WRR1tmw6pfoqktI95D7Of2ZiYUEusQlk0XjGQN
GkNjZuYUNSR1yNOIgBPh0yxEMjr4ps6AgYyuL8dkXEmSFV9KAkKEZfGkdUwwit2OxaxY701H07mG
LWiwv/UtAKd3Hcy2N0ORdE2R0AkAwyMhWvvEDNXesDeNtk/AmLuhAy4wJG9wZZiIOkTCGk8+b0VQ
qupEehMN7KBlcVyJiidaRqbkAIJD7FiWCKdMhkmHOejvTbmdEKjC0OQIQYCKTMETBvGr19nvq9Hf
GjfBrErqEidOxpK29aI12FiV5i3/0rr2UM8q9sYubCcb4LI8bZuTms6BvOqEheKXlpVnvrDzynt/
8ZYAuO959cb9ZLt97TQnhujdtPXPHZRdff9Jj5Cnsu0xF9tXVz+MwibAzo9iGJJJwjoIPheOPRnV
XhQf09zcLJ1OrNDvmzdOMnQA+Kaa7JzSOc4DZI0B0g3xglWImKz306Lj2h1C6BVEbj3HtSXROpEI
51nkETdoWyfIpmrXy20PsX/Ogat4RfXZK9c709gdboYEoaTI3cTzICNDx2GuY/1aIbsXELPVwpJi
mBKVobga6VH0JC50nqAlKKTdg7iYKt3uBQCaW7XRKjsgkzJ2hmY/Fy54qu+4XqKbNqodFFlP+U19
3BDQIdpFhDyZrvRLd4uhrg/Z2IdGYh9RFI3TlIzG8fN17zQ0dIkTrqsMJUo9M+5JXiQ8mxJRo9iz
dO8awObPM5aXjrf+BDucI5M4EAuaLjGayzsMC5wRhJAd4tLUEGUJWVTslNVBrPKIHR2LAloVLUAD
NgmITf7bY4/LFjXyEQHDwKaMvLGJBOOQ6zG0JFTIreNPb2xVzjGWw4HT5WC4EzZVF9Ri2fXjZZNt
3JReaD3AB+Df7jCGRFeRKkiQbSxuoeabHah7oZz1cifOJnDrsgchI+nrPBLbDNarUl6FsKUJAv7i
dShxyHr0lg64Jrp2RB36zhwnpUPeALQrLzFA7oGhpuxL1WU7vrWnLV/9DoBSuPgBKqOU1/aQIRyP
UkWA09E2o/22LDEnt+3a7+d2iSyZwm784gnhQ4EcrryIvUzcrKi4g4riMzL23JrioYa269yeedYk
E+sh2s2DKfoQxKYdYuaUT7DkiSRivjOd2o20Cbmuk9pxkh66Zblad4QZoPA4Xi1o+RZg1fXnPgvK
SQTTtkHP6dZBAFODm9ZvObZAidF67/Yk6MY5mtZqL2l+NbY9uvaTs7FjOd8MpI7f+j1sE3Gdg69R
F4iP3OOx3G/TCqSHBx5iO0j2yVquR5Ce7ju2Jc3W7ifzyJcmncrtmm/Li+Z96o3qUHvdBXZoEnU8
Zm5oGpq2bpZSaCHBbh6KXtz2RZQlc4UvRZUnpFpgW/uE0eqkCA/rLY8mXEbIA+Wi+frG8wlpd6D4
hoSNSVY5uw3kdaTiDvA395zYkYAw7RQ5ikU11kkNBKle4qltol4OqQYILMUttAIi3DnPnZftvE0f
uJOlhA0x1xD/BvYRsHnVQ4BiO26+1oVPNNsvvs26Z2ibPHU925txPY0ZSdesgVyy13wLIL1ESx0M
fD1IZwZEHBLRI39bMt/Rnyk4SN0EwyDCeS7jXqx7M9Nzs56LzX2d5zvWlBeoVn02NNe1cFMl04XT
ZNguHauO7YrSns3xptxQoK+o57t1WFIPOjCG1hEICJFr3aQzVYTkEDpyAmy6cpGfq2bc1+2cQp85
dPl4dUXrr+RYMigKdopA54FB5yDOoGWS9TNw4rhn067N8iSvwYGhQSJZ+6XP4lKRCHY90LyFchvH
y2zCPqP+5BQBR3XSNCKixg1EZk+dt0BrqoVStdMnbymOFqE9YfS4eEXAoPkB8venaSoeqoXeFQzI
SkbbHZuhI3OzAvFgoDfw0tl1dXkPfPCWdexaMRDp9egb7wo977OLtF8vN3m2lzPkw5jYLyinEW+P
fI48J4AVL9VZ9g/e12y+LaEMxW7Sl/cZORidSDSckOJxxdURKfPgiPo64DZohIYe2nYAQE4Vkntm
688ai2+TyJ/YAokVlfuiL2KtzfEt/y3duH/TGrRZg9azO8FhMQU7YVdcm3E+LMNdC8jhRE3eRK1x
ArzpYJo01CLubrhjzpAa7oabsyZss6k766voLegaczoWInJkcc+HJ1xuoTOtKbEmRWgFBcTGaqjC
Tdgoc6e929q0riOUQW1ZDMGaqbMtmseVTDegrcfOBP0GIpM+2/ZLfZsP065engz1jngzOyfTO5fk
O4x0XAgeVVrvOiCbgj7q+36D3O5WoSSHRr9Rl7L289w8bIyfl7k8tK46Ld7o19JNqrnaTZk6lVje
VHDrfltuMBQ5qlbR5O6ATIZTAelTg0LSkB3INDfwlsIVWrBpX0zX1lkurS32EhU7cd2ygDXVyclE
4XcUxajNIhB+9w0CwrYq8Dwvabv6xKsKynPn3nGyU+HgXbvZncybnSsbf86yewfLR+LRC/R4rnbh
Z9VVN4yWICBzf1JNVDr2tq69U02L3Ubt3rQ8dHC+k2WZaAdf2rd6uUdx5m4XTeyuE+tNjpuHNdtu
q3I70trXjr2Ikt3DOwBH7QKH0zRlM1RBHQQYCFVyiEePp7PIr+O8npQ0R0ncdOuPcuL7xZEJNniH
su7Bq+2jzF50Pvv5AGpAPpwxD6dlTmq0HHST7waxHDrwgnlBAZvcAE8V5P31E92yXaWtn9XNU1u6
n/piva1R9jBgcx0kcK83pFToVEPNuBr0BEj56AGrc7ssrJ0q5NBI8LLhiW/ZJc/HFFuzg1KfmGFf
deYWWXyQxe+6mZ8VvAWyteNlaEyiJuAVRXvCpIzabofmJpzycZd7xd0I7c/OsH2VlwAEbI87cYX3
ZGCW/tEKc0NGFkEv3tdlahnfzR2KxzK/lbUMq1Xf9I63HxS+7cshyBY3Ks16hHadr1FzzZviS1OI
PQeq/+biqMy/aD6l1ThGeBbXsWOHhabOBJ2DbTlwbz5orS9S8MMAReGyPCBIjWPTxQ3MACrhy9bk
+7YDLYJkgbME7mhDDOHldTimIosV6Y9jSVLod+nxsSUilSy/zu6wGzNxAAV5mNURUgCw9G4GmCGl
bxwaeuKplzS2a3uEHvZ+YuQwrhrUeWv8tfQnXXyaBvWZVfRO5CJx5tKHbtG5FfdaugcxqpORJB2o
PkKL5zS54ohYts88Z5etyYqGQCxOMEoUIpxMlEcN5pHXLYl4WQyJ15lGVvBgKsuor7bzmKNLCWGc
Q5RuFN6PoKe8gHZr1vitaRPNhxT6VXcjEoe8cWNXZqfKIZFq1jjnnwwX+7ZYEs9Cif8Js+2QLV2C
gMETqfcabXuHtDe9t9yOUMhCjReUJeh1vDx463JDJaB2mSgEpHUD9UNtB+jGPToQb/M4h06XQ1wB
BXQI8Bybcquhq4D31bGZ11i4fAcaTqMDCilUuTGes2i1HURNkULt6wh8EXYOOjVCWhlPeGjOdQUu
POSHFV4GMZR+mxp7gNbNtQKZYqiET/8/Hd+xJCvOdftERCAQborJJG1l2WMmxLECCSEECPf0d0H1
1x3/4E4USElB4aS9l9mFk6jKfvSR/RS47ntdE8zT059xDjDBRtDh1LkRmTd/1DY91XJ9AmN2M9UI
HK5oY13qPJJ1Nkn1bK3hexAEL6AEH2SyDgsRLzXY/dHNZX2fZxaPgzhbfELiDrRZknxchg3JvNJm
ykRL40Ai1u7p2ffmyyjXFxLxJ+Ti95qVV2rmk939mKvyOhb02yKXN884v4LByX265NNYXEVDc3c0
ZwVYdqzMZVq8MydfLDMmocQkhgtoXfAeBgIu3mOmGi6nNmovAZWXwGnBd4RpYOkjNQGWtebKa6wJ
Nnjp+asXec9z2HxbG+trZdjDKlgGbHU5QluQAe6aZ8Rbc9b+Nd6ctstTANDNtb1MI5jQmPaqBTEQ
5cfB8ZG7mXvkOyl0ammhrbwfy4Ny/1jyb091Wtj2U43Ircer52txqJAHAeqwguPM9HEu+gNxTB6E
RVbY4bFHEEws5yKeNVU/dMlOoaXwFkbQJtmpqj7wDV4wQT0c0+eVIi/VhORHhHd7aZA83iHzAh5p
HUjhZUFDcsbm3JmBITVYinyEGOt45RHJPfJj1sVTIOStGPqrmBCsLCtyMiT1HQCUxjUHac1+YrES
/5lHU8OerNEFKvovtLKjIZFngFfsg3t/x0n27t7s0M1/XdO3dUrqYY6DBgKp/wP36H+Bn/0YIkqL
thjzwAZqPDkloIC+BAoRLJIg0AQToPqqAayApi1UH1uNHFNu6X/G9q1GgiD/3LESFDhkxUJA6iPE
K2JZm7NmVihiQxpkLOF8RhCuz0NV6rM2wJPsvsPSTAK8qBDjnMnc/dO0PKjByu59YAZbYPW/3wtQ
9BAlzvk+RKOqPZugxd7/7bIP7n/8z3H+O8Tazybu+rpP93uwgz/7bZLT4say4ZiRt9ukguGL20TV
wbZcct4brtwiplghk4BIgE+8kOBXifzcqqHww61bdAyk/4vZbtqw3ap9y2y3whpZe6oLhJobwrY/
sv1USzPqDMzc75oWHMx5PQNBGR2VAmTAvd0P0DjbHf081nbo0OO/igD4fMk0HpluEwjkolO3nXH1
PPl52n1rH9MkDIAvraDCeI1MAofYD/bfvvsYh3hi+TzN/gvveYDUTbz2Ard/mPB4Crrd66Fru4O1
QK43WlG88uU+tv2xXfTBLO0hAG5UOMNxGlwgDlU8/R2QJ8lFZ9E4JpbxkB+QI+11Jj2ZcTIfzWQy
e5gTMS9veol+Wu2tIBkZw5g9dXw5TH6VyvEvlF4P1+mRlU2ZAiZub7iCWO7L36EAA7iuJ9v0F8nN
AfLo1AuAAIkzYXUajDxbWu8CCuy0yuCZdOoJ7OzRPVUgQque4ME0D7U6l9YuL55qbnVnZ+XQHC03
IW4y9giqF/9UmujQWCpnhp1ZX2R8W4KEuKvL1LK8tvBWRtuiaKcmcC4Fn+8i0G+AU/561mEq1GWc
ISYwnXqFhOBsWjw30x4q18u7Y82rdBh5IqolKUcTW7gfdaWOIOIvXbdeFYIHW/Lc6aMztb4Vo//s
lohgx9/bbVgLP/OlSPFGQs0AjG7VWTE4qbDDA8R5xyk0CIz/9HZ3LPkF+FrO6XpwdZkZc/VGRI12
ldZWERdenbqEJTaCk6WXSLtY3npW0iL0EBBhtlqkwypBcWS/iaUPYkUOoNarcUVarmE6MURyS3jU
JMB3z490EBn0UTGN3Dgc1aEFlDkEy5FNZRp2bwWyK8H7g0IIU+IUo+WdltB/4i64+fbFDeY3W645
FdXbQEdA9XW6rMhtS/LMdXXdMsehdnGTcMtHmoi+qWLHHl5YaWKiiiyYtwAS1MkKSosOqT9OOVVd
PEQ1VgxyFIDS2n7T3ngpRwQkQLTa2krWoElsRpMaCKVomkOJyxuVTjbhJCib3Le+9LYVNy4QM8MS
Ub6R8IUgRxmbKJ3cKCvnMZU3fgKKHNvSievQSZalxiyaV9YLnWiMnCGt5O/K++rXf93BTZwQgfvc
pUWQ9qI5+EN7GG0nb90hsWqTVtC5FRrgczsiWNeZPcmsctVF+1MKDVEa6Gdlamibp3ijT/2VIW/m
yax0vAYQrC5FHOLKbCNSxdqL47inYPYzLZEhCpM2np9NxR0sYRkAyRTDoyn0t6qJjj1Oxosxq6Ig
o8L7sSqQH5siPNQxL5w4KERqryKtsKQwQHpm/aEBNwXgvnyIEIgVu0MINW17YPwNGIJVVqmIwFz6
IKBZFFsTBYhQA2fuUhbNsaHgxS0PQlMJhHGNiRkSOc8QrC7noAx+InmDFM06atZ+BFWQmZCdvREs
QetA31kn0WAlFiZrAh2gZeZNKgv0eEh04KSceak48t8LL0EX3BwWZnWxZm1pQFLewlJk3MbD8jpg
clD/eJABqGvFRDoVDpbo6dgs0WH1iwf4uMwd8PmECGwmXAS/QpGZhxY7lhFwSggzBdSvAzIkM/5y
cdClY1kJBNRtuzO8HOeS24kIZRIM/TECzRKMXroYAFfFmkIOK3gWcH2IOieflzKRuku9CW8bZBJi
hSQXDEU/eYdpKRLgcukoNRCCP7b5KYmJQ5x6xG0z9UnSM5urlCwcBIid1kBCB9bmFRdJIEy+VsOp
axGHBCZhxd+lo7EkNpAzL64aPFPYCiB4WJ/WReZKDElBRRaAUZ5JeY3EkvXAiqmHMArzMQdeVNd/
TdG+zCAfQz3kJfIJU/TnsUfA7V6cGgIUwJilrM9tE91Z8NWdy1RRC19VmxfFhydbEPjBoQWpV0KR
W2PJ8EY/LiZwnhY9hNCsqKA50sBKLUyVfUShc3fiyBphHpCnAsmLrqMjMuwzW9QxbH/JCWp3N4qN
6TdtTwyNqdHZMgE4kZfBs99K2wPubZ+1Dg8UVKqZ2Zn0A2Ldp4J7zyQAG6Hb194XC2Cp/jJpN15C
kMUXCfRKrNGRFToTK6SE1YeyvYMVDVnLgX1j8iwikROjk7GFIl0/6NwlreyTsZKg7peERHXiRFMG
kAZzrkpC/O/+iiBFWpnvhZfFH5MOmSUBIBiY/igx8dali3cgPK5Qw1agfKbJThbF0iZ4MshDNfMT
t+LPGjN95ZeADex0dMK75m4WrREgUIo0oM1rKH+iPkiCRSX+Cs14DzTGYUAwybNVecfSOKd5KP6W
/alcXt12XJM+2Ago72xK98Nzh0yO7ERxp6t6zkIYGaRzYy47EcwgVrd8bU31Pg/Nw6XqK1Pld3fo
zjxoTo0Iv4KeTZTEjGgj+9gyYl8woHUuVP8kFrgw6txVCS4NS7o/eJcRYqeWPNbZOpHG3Cr56kTj
jVfLaxmN35zK+712yIKU994xJOJtBQB19a6lY7/0lg+fhUwqOicdsjv3WZD6Tg1HYIOAaZyR4VmJ
txTHVpEbi6rXgnhPXcG+Kct6CwnWlsa89Q2/mirIncocCrwIhXeQwZIGgwFAxRIPc+gCAQKUl6/r
wSucxzRXF63WFABQphqVupU4FHrOkHKmBQBz1WG55OUxLK5tiKWbWmmnAO6S6LJw+7zdBmc5lTbw
igk/4+FXDgftDL149xyu7mkMTswgQmAlJA/ttVywWIz8FlF6w3S4ffYHWVJMDw/gYIkLSoXNS26Z
4MkDEckqAXWWdRLOcNYKoIl/A9b53jnOtYmCS9OS8zRVseHhnZfFpbNBh7U8jUxx1Ov3uYjOi+Kn
yjGnMAS4yLDauWHWAQ6fAHwLHiGSvHLr++Ta8QxvQT2UaeEjukDWY0QfN/QX3EDx6PYxa3+Z8HVR
j4B8SEToTQ2JWmZTKJG6rz55I+tDQpdoYuhuljWtAbDwSxE8q/HvSh86t8qHMX8k8i/kmjEdOfZ9
c6dj7+SRg/f+uQk+XAuSptPyQYoYC2b35lRJ7Z3sPzIpntTXaobWKO0hebaT6Cf9EX3BnCITAvHa
vb17iT7ReH6DJgBBhsZjA9H+ajBV0ngIDwbcR1yaZPo7jrEL/FxgfUIS7fMO6900PEQwriDaBL2s
YcjuyjJtClE8eTNieq2mDqy23WCOUcMLoGJ99mYJKapP+rhijg8mB3I7nMiJ/aVkcbUEBmYLuEGI
Lpt8KGuT7OaQuuJL3jX4p2htX5kxwe9e2a+eZPPdCkb9S5cGkVfhBlO2zF0TU6Ks8+yHIz6GIZu8
1rroid1kNJkBq6kzpNTyEKQ2VXDgAqGt6EQDUiIsi4MYXZXMm++nmUGo02V+eAG1srGp9ZEz0WDW
s/hHtDrX2gbmNq1lmIXjUMUR5rR3sSxrhgmaXKMSViVlSxnzzblU/ttYi587kiBnKRao1P1IpZW3
Bgi2WnXbx0Qj+7wwa3ck/qqvVgmDidLO8t0R7alfJV6kmbwp1YnnXVfjRORtHxKkTZehKfAZgai2
fa2SztjqXkEXi5XQujjALu97Q0tRAZeCVIhc/ZapK3x6y73jbL07hCz3NSiAomj6fR8CK4w8Vlb3
US3u02oBwN0e1P60kE8idxX4+Nm6HPRmo7ERm6awgbF8Hqz5lS8E0kzwaVUIzmX/y71p+Y+KOO5z
Ibw+NosdHYgOu2sR1P113/Ks7urP9V37gpz3I0OEApSBmC7z7faPxW3v1QwabKAqh1QibrzRCmH2
Zt+zPDHfyhG+HAcPdzSqONNoDS4TTAgHq1X8ubWtImkn0OyB27KYh4jgxkhi7y6sYRiyhwos7irX
H6L8Qf3F+qbtdT3YTURz3k7FO9QOl3qWWSll+2K7XXHrqNvFtTO7X6QEQT5Vf6BmiZkQdRWv2FJT
dwMi71MgVdGzPRMvR/rQvyLJKmPOV/lrCosX6ngI4kJipT0dz1Yn3SsfgdlrGGMewsWXZfVgePqt
Gy3NqR1t+igCnpTe0N9rYD8xokKRSkqXr6U7Abee9HQNTMm/WPX3qBPOrenqEbqY2j9JU08Jm9iU
MRXwCyyFhBj/t9GeA8a3gPRznSTuSUebkyBVeRv852X1xJXZ1sMe+jZ2rLG9kIDzuyqmPp37ucqG
yYZ6ppofEOa7f10TxBQ0zO+5XIBxW/i2Km6dia1amQa9z4/Ms/6CSLkxT7u/1SRuyoYUtjMAtWQe
DGV5C5uuvK3ajltZg/CH80im3Ignq4u8YzVU08XzdZDWfVf9bNunFbkeSH5HZPtrov1DNPP6lZoR
X/kcdbFYmvIGgIHdhO14h+oFmL/KIgi3rx3Q+KsoO5EpXX73aWdObtCJKY6mCWI0gGhC1Th9GHEQ
84Q//BkzWTG679NUL68b49270hxn2oLQBRzlU0X/lsQ5AkoKfviDLuJmkW66AjtI9zeb5ZyHkFf3
jvsOjHyS0wtzVSbX2nlVwInnqvA+OhjU7iyKWFwEk/dROg7EU+MIJppqclyJG2KxbkBz0w6+FkPG
N9YU3pOjgG5G5fQ2gAGKydK0iebr+IYI8wGNkXePFmt8gwN5SlwVMAACYkz9ai4u7EVgAinjlje3
gJXTj5k4MNVJo9/dBixa18xYgOoRqyKlWGMY3uDezu3V8N9qeyN7Y08Pv4fAzGuVSAqn4RAXCPZG
bWiHxTz6vymyBSDf5c+uwzIl+6ZAaChCsHdTBSCX1GeLNdWtmXWUrb3dv64SV+FAoDEEHjyXyuuf
YOPwbnDLwhRj+ifFxPBkZFHFQ63WE/WbOYugeAPW2k1l0qkAapnNumqWBQIMKIwNbcCd1JZ8+ISF
YO4WO+abKWJvbEbauPeHJVlCCMPcbgR2gufEI65e2fb1rEEY86UOQBjWDDEz1M2hluUNLjQYDwve
PjMoXVhr6ivfzxw4I02V7ajvMoKowpk8uHA0+IopxPvoLuw2TTNEuusCp2nUq3s/lGMcOo37NnhQ
fjQRDIZbQ+2miS2I0g+yikhcbBbFhQ/8eVqdL2qeWL7yvs/GjQu1Dci7aoYv0OkRUex+DhhpRdoN
SKsxm3/Vk0e/0ICptK0C8uSxfsrD+vA5AzhDAZ/k6sHsMZbqArAH2gVD73xd59TpAGHuxquasBVJ
hzyEm/dqH9qbMSR5LW37GniFODfU/Op1iWgbBC0izercNJgHgZxcXOj4uxioY3FZLCSBhWtMMob1
OMTBOqsUDAuiEmcWELNW+lz6RX3pVgW7DG+GL3XFoFKS/Dc39Nto/B+fPmPpWCzpqF++hpY/31zP
e/iuKV/3BhM5S2BytPIBcsO89P0mWWrxsG0KzSkPQQj4Xv8CsOooF0Hvbl1CScgJPyhnUS2spREg
e3+lmV+NSHOKxY/yiPIrTPCY4CJ/Amm2WzHJgnulw2a57w2ZXMBAHnxn7fLP0GwIDFUT4nBEfFlQ
L913j7ZrOva+vNWQgF5xXj+FRyYCCVuQHDpSi4/fSdeaI3gcfZyYWr5DJaQhHjXUtjK8Yk5z9ooF
fp5uOHIoarxurm822P0bm5r6tnf3LbAnFpSWTv7fkIHVJIXJh24OAnKdqbGvZqD/NJarVDyXQXOw
aLCYOOg3/etM9HLuBU+7IGyu7dYQqw+PnhU+70M+nBGf4/vWP2POMYyEPNeEY51sagZRTJhK19M3
KJR6CN+9UYOaRn+wFNwtdQFhWKfTQXf9k1jBD+9NFGFqH1UHBOl/Q/sewTausP8+7nZNf5oUgyi/
aMbXFuZ/UXnT895zXOAdSgXjYTJ19RL6P6V09FOIDHJxFRRMW4PVjyZRZ5HPMbHtUWCPEbbyFL4s
ldctQo7WkYjvpjr4VjkAdKBeaB7+2PhPOqrbuNp+YGYkiRzlH7+z6NGUtr6OSwdN3lzWTyzorhDm
BHnnAO4iCCVfekHsl2kLqMN2GM/rNuaWqtmc7kyAmmSAzyCMQ5q0Av/0PV1fXTHdyoa4D9qT8AS5
JEoGjJCZs9nJWL8Wz4OL2NGEfDwFJdisfawM6/baRsttj2AF0eQqOhcfsb38htXaRHAYMMc6NH47
37jDP+AkoAdNiwzxPTARyN7TaaZhn1D6Mc5z/zatAwMvNRB4U4XIImAjl6DqrIdnj3NMCmp+Vnx9
7pg9vEcrlTn95Qivy/2xdp66JWgAfHf0i83DrwHWoHPYdyqlQ9scFoNcFIok9z0qqn+7VUrVLO+B
dONBqvG++9wiEmUeYe6nYdaumj+cAM1e1wJWqlK+OTW4ujgUi4XpxjEJXw2meCTSUFOHAnJ4x4mR
TgM6QbDzweiEfMl2yuMIHR4iWFmcFrwXm16nvwW1ow6AzHogmQgYardZ3+UYO3DxxZPXRL+GiCdI
DunfynOfBJ3mb9BPr0mkVgSpkwHLbPh4rlvT3Aoa4ZSGvwjpqy/KBQwZ1k1xqbau6IsjaqhAPlys
Xeytg/PurI+mnda33bKNTkmdDzeoi+daFlA4NlLlGvqdj2rht3pDggplgnNV2fwF0sc+nl1k5KCu
oX0IX0FBB427fB4sKh5LS8IjMjt9KOfGy5ymae+W7up8qvwC9g4Jwtm2RQ6vfHuvoU7P+iiqXtYG
wGlpVuDTKrJuYdu+WmPoPFzLm97bTsT7tQkV3gZncU7GIJ7t5qb9MujGOq6T0Jnl97hc8R1SW+cg
FsCugW0jcPcb4TyR9QYNVpXoCHxO4Eh110PY3PctxlZQOBEkjnwYUV/AMVB/Ol2Tc6x3eTRE8wV6
OgeaQaMvum2cVDNIku1IoELENtZFbdvGfIThqOOvqmf68l8TwlLw2SXawGkjJSSs2y6t6aoYSQY9
TJJM6thy4ma2hEemmQqUKVCVcwjLcLrsqwJT1nTWfXdV20Jh66F1YmshT9PMZO4VnnfRZALvo4B8
9hQe22AbI20Hn4pNxVtQvO62+qHpSDKHZLoXciYXYZ0XRGK54/nN0Xgi/GKCFZxzX/4MaWZpu0iB
yaoj6Rr3vXVGmakJe+6vTg0aOCktSKt9G7DlSgGdqPGfxg/r4uJ1MqNgDawhCXpo/PqWLVA1sFbD
8mIA13tD1ACXB7D2EanB4m+tY8uTt9IG7qeK30fXOzRwzzyvhPfP2qbVffg/Q2vUnYIWb8Toqztd
p+KZW6J4doOV5XRmdbKP7Q1u/JuzIvayGlpn1ZY8ia0JSj2ebAG1idUs7sMrVvuiI/tWN+50qxbo
ALvwPoGIvSE5mD+HFwHNuDHQGnLgO4uvii5jdjsfYUPGWq9WGF9N5cFTOTVTvtrDmMFQol/B3L2E
IYglEgLaUdv82EVAsKeWlre5D/7Upa6/gIWSqVCVfFjuZr8IigrgYPVnhU4lp4FTPaM2BlxVpFI/
2ujNFjAgzZF46qdIvhWWQQaLZRYCNbd5djalI5norW+b/LN6Qxv0kHxbLgqtyDq6QLqnwHQJt41n
D0RQuWll7c2wiuSwuxQUX59BLBP0jv+7B1OJSgDNz3WILgQmUqDZqz6Dvam+BiOg0Uavb5iPJ4jI
7L99I/hX/B2sxRbzaO7XJU/n0n3BEfzc9qWHFcmH1LDomz8l9II6njC/XnzffR4HCCP2HoIfeVxr
/8deDEZCu/Jw4ao5Vj2tknKr3rCP6QC+uaarXgj7ZndMvpSlGV+5KafUntfwsHfXqAkhEyqfkQ1E
qEzypdVsOYLAHiHod9k3UdNnOgTmxS9D/cQ9t4nrIBwu8Fv0YElQR4dywPj7jdybZRmbNKLhEose
APSeAhaoBwITmhWCBRlqBnR2S5YjF1CTM8/BF28uTmwu23zZfwCChOowpYK3QBTrY9/iurUfc1lh
TLOvpa/8PEB2dVYa9iJV1vQWdtUfyMnf+npcvmvhl+k6EHxyhUSagvoIaaia8R6EdhTvlnAsAhX4
c211mWpf/IHYj77iyE7t/rr3Zo9A62ZYkLjjRDJUJ0L9EHdsHg5M43DPwP+tV9Pl4TJ2CbRUWMi9
gl0dMXRXL+wSOTnBw6Nl+Ji74EiXtr/tQ3uDOiTQireoolMUjXft9PoOdBkWpHIR13JV5ZmNU5jP
XE+3IOzkobTtCSC5wEotJP8wTbRBE0XKENI+darvn6kEUdBIEsHQvBRpx/ryrqgsMs9uvec6clna
68J6dykQVRJNzvcG0BBf/ODP5IwJn1FLhyxt+eJxaMNbKf6ycdOuqOn7NDokdvzGvPs1IsOiH7Gw
hd4Em4KTM6S/Z27a5jgPI0WsPDVHBXPg59a6jZXbr2z26O3/u59SSW+tJIfdxP1CuvUFiFvzvHQg
21gLqz8TtEKC365wnq9Vylqyvipp/tkq/x3bf/1vP+X33ln5cG7uu6zbAT63lpG/0HGBHbD82wcj
Fm/bscds6YCyt50SL5NbYKqo9HAwDf1Raepd9oIwYA28K+jD14m0oMOhWUpNjUBbweuT71NO60JQ
aorQhaLLb1/hCVtV190iDxAoSuu473s32LrDVrgAcgeErKKa07GAb6JEBvPVMrhK3kEkN2HF/Mq8
186E3klvRj0LQYRI51FNF2tmtkkLoiFv2ysx7c0MNLsDtKcqqz43a/V3xxJhEdaB6KF1BC4p/GWz
AXl1hkICh09Ir3bAAbrNcOtQoeg7KtBEkLty91XO/ZqVoXRvljQGhWCmAFK20NxrNcHxayb7rdXG
jm0VFj86SHOLonwFZaPeBwJfbVt5xWtHOsSdCmSpCYV36W0FeRbmxddyLh34QIfxw1n8j/rJkh77
Zg2NOq8oZZXu3UnjqsduIPcZPsxXx/NuwK/Lw6wqkQ8LXw8jGZdjKzr9jThFhjV9eZ8Wv7l2EVB5
JqP2m+zKKOa+WUEIRSTVdgmTa+351zmY18NKiIjpMPrXFWDpGFMbHgWbtQd3QJUfb2s0CobFgxKw
CLR9cKtbyxxM7bTlgdZt/8TEDFbQUydtfExsmKkhR29thagfjo1PQLML/Jg5AJXdsYaWYwOlaQHP
S9NZWNc3xNpbGLLVSIADL+vlOBEwCv8gexRVn2YXLF/lRZhxN7hvWt0iG/sFyurEGXonVdOgL6j1
oi+4jChM9s1O0fLo9Jaj4Xx3KvgYgCAjI+qv0Oy8N5Oxj/vQ3vyHLDtuaQ7QB7O4Rbyt48oV9oVP
AezgxWBfxt9uxM0F4NGo431k32FvoCxeYmcVoAlXSa8uCDYQjG5FsBAPKBJWS8vEvtys0nLbjMLQ
ve79iSGvkFBzr6Hx8siO7gOifnylU+3cMMuFMUB6L2PCrTbTB0WBnqB7Ff1HURamTBgnzQO9TxDL
K/XeE7Psn5dQDodJVTS1lhHACyq0fSLxKA8gDx0PxaHf0iJTAoXff+3sEPWttl8/uw44hqhm4zHa
6jTBb5UEwdA+ye3o+1BvtQmtefu09/bqG9te3JmhrO3WZ0UFv5cErNjETPlNFLpOQb1SZAyR+Srn
FDVN+scsnJ81czyog+0RtLVlgxofxAmxb5MuzmJ/UD3CkRZNBF/Q9iuA7ziAoQCG0OnMG6v6Wqw+
cjIrfEPZPvVkA9KJP8d9/BEUfQCuWfZ5k6xe1dne3//hcCEBpP3AEbQNOz9n1v923Pu9XWUo9Wch
dLX96954rPhn67+xzi1TGxWXDitEb5AVUOh7OorAkcDe1H/XRh4IW5K5mh3gMT0+lwUQgwJ/ZQdO
CTc1wM+oOdoEeHJjVzGcwB+RWI9hRdrMMtEaN+tp7hB+M1rGZpgg0eiRLBN/q1uHIlHAfw+99Qvx
JdjPAbVfiu6iKD/Ifj1ClNRna0cexjJVTDvYoKK5DxM/1HfTus91G/LYK5ura5gHv6P+gjp2kJ4V
+QaoQ2KDFA8ap8hyn7D0w3GK6B2TMKnbH7BW9VfbcUAqaefdcBRvs1oDElEBKIF8N/p/XJ3XcuNK
sGW/CBHwQL0C9KS8oaQXhFzD2yrYr58FnTtzI+aFoe4+p1sigULmzr1XRhHD6+TBtzlu4DoxoSJC
o2PCrUWJczP/JCnzyCB5Z0ZLzRCyIQ2YrfoHznc8t5MYL6VJLrL0q0dHYHWJU+fGwVPIx8V8Jq0V
/VY2HCIXHSZBpS/9Fx18F3eb/5SU0yXJUC2iUWSBxB+cctQEXSveo7o7psp4Wc+SvR6JTanqqzvB
chry6sHh8nMsOyzzL1nF91Pcf60faWZZVJE14XAdVxETwDh4Uy738+iiZcyLd5uNGtmP3rzMvmDI
SgA2J7Insuh1GYznohJ3zNiIjeQTBaKbfJnt8MZ5VgWGNj2Qja73pWVseubXrW3+Won7o9VvdTzP
Qdn2ZBTbxy7KyFvJEHnvZ6z7n1YrLk1HYykWEhG+Ujv+pZ0bI6do+VEOGRdTEe9ylKego9QOTMe0
NhYjbht7Y77SMDSSbLJzT2ORhWvkOWIeXnTLXs9HDM+d3JVu8Vgv1lNUubdoZlnool21LcEvNaXP
bWdeUzHFW8OeT4OHjVqtF7dXuvdmpQVtXJQ7CyRhNva7dNTv/Gy6E8K6K2qJq2psQx+tdiZdgFmH
rIX/ygTOn9WnHMRvYzsORhyS5qS+DE/3wsRifEp4oY+tL18jCxlXu9aaNdLJuYsPr/EDM+pmikB1
aKf6Dsno00lwVeKu5DFnxEE8FT+xCe6oVfE9+liP66bdJtnw1jj+1RQaCptTnBkl50HiZ0ejUSeN
k3WblTM+Jlq2afWjNZEImr6PNw1aQN3gofabfdy68caLeVAuunGu9bu2KdqtPRd7MZVwRCZBvCUt
9wlG+2Bw6gfqjUsaofN1ShFWyBcZyM65IRMZM3LusXFtKEXV6l0ZTCTN5l4ZxbNwUmM7S+gSSGyh
U9v+OV5GSEYu6U43J9Vj8KlVJr4qF+qfw7Vet9j5pvi3cXYRtukNT48GhazkZGMmAtPrxL3ccHjQ
tMj2UffTdtfkNfW9IK0rhnAsCW3jjCH2XmSgD7wUZbS48K1x/KwTwBxDZqNiLPpdciKr/pB13neR
ynSTLuLGmPibKyS1avkReNhwWJBITqAhSAT1XY9XOHC7rZXTUs4kGU0izJNxmB3CZlOrG+GM1b0t
76ImtsLak1ct6X59Bq4r5mHEz1gNdRUuhvarudpbhQmljvFEud1pRizru1M/uefaqY7gUopNrWKm
l6XmBl1lvzs5p2Fhzl+xH1kEE3UnIGPQbo2E1tyzLdyIusYPt/DAFfE+Rbui+kWYXPJhb2UaRgxX
cajO8qkt1JXi6Zfg4aOXRD9Uvnu/1nniE4y3J1PRBHVi436Rj3rMVfaikebqhn/Il/RYmmNgNSFY
kiUbq8ZqY2o4luKY6G+eMVO26nXcIT/6rs93Y8OHordm0KUGP2CykFLMv+xSfs4CQgihaqfXMCoZ
zQdhXK6FocAtYhtHoJ77uvtxvNIIqzJ9iOxkpzh9PRdHZ5748850241lK3VhdPXZe2Bq/eRctXOx
m3OshkP1PCz5T9wopteuvFq51SMRWL+AIZywIpA7zaQlRXeIl8W4GcrpKRkkQWKoMKN1ELksgzly
rW3mZTCCQAvoXscTm+gpvDstLKKpCtIoOYscGyD8CsuF11g5v9o0X3Gyo5ca/Bc+cLtWJn6wDNFd
WfXHpadYjRmnD/g5tHHZRghPub0pbkXtv/cWVBWGfXeUnCfLc3AZQmwIEP6ejYi/sxYGsNEiCnXQ
BH5m/hgGpqyEsLu5yuVtNr1ENa6lMWY+XmWkOGIcnuC8lDCt0LcMvBNDR627eN+OO2Gq6dSLJpKt
3yk/KGx1nv3+uXdDmTNJnKzmpa3mmGhUtjc8NW9dX+iBBVPbd4Wz1ZIAMswQ2pE4eL3540v8uj4H
EBHlKZzhNQU8v181X911hv8vLiM76KsSspNjDRBbLIOQ6HA/FOO/EaHctzk2k6J8o9R45erpd6bV
Pcz4/YxF18mo978mKmbYGCNpu7wJfb3Ailng5GPadMJQfzOm0W2F97LocJoa9UlzBzhv3bwhFP5r
FprcjHXJ41/bJdQbRUX4KrIAQVEP3I3xNp2AFLVtRVMmP2ym8kHeG6+QB8uw5sYIJtV/6XJhqBrN
l27M7uKewLDnNx3WPaigu14AVMSr1d0a1UKutUL0L9xHT0v626qPqu2MAhuAdSOLTGQWAtSEH97H
BOyA7qLuwa2D7QOESAxTdymqW9MlqJ7l04Js1z8PGCKOmLXGxeZ7ENVNI0uS4B0yQZJiLnMWceXy
hDFqHUzT9ELVIC1lqX7N+zTbYMdkDNuM9A36TD4vWbBXg4lQZhJUlZ8EyosmnPPSf0at2YyOmdx6
RfudrEjmShN43+Rym/0BmtcXhjnLHkOGCrK8k7fQlHxq3lt9qr5HOXXPsXMLmkrPgNwclEK0yErt
G9BVGdc94tsCUajmYZ62Fj2uLmijVJLROeQ7Y2l+KpE196YyOjINNdYaiAKyrjYM5FNmyLx5Q4ol
FvyWm/SfYrKZ1HQuQ8ptqsbx1my5Qi135sBtxBnTERgMDtW8oA6UIjvJyLovPc5jvykOOUbv1Cp3
snGKveskGVwZ7Px9pB473C0EsOp8R/Q3Cqa6+Co4uU0HfFLljgfH9vS93i1fMml//ZkAiElXHDTC
WBlJpD/zxER4T1SLea/gcgaqJRNvPsc8nBM1ftLOEfyOIMQp6bzYvnK3jVlgkEVfH2Ptuc38AjW8
pQbofwosDkGi33RFAnTNke+T1H46TONxY1Wh7UMU87L0bjimQuPpPfn0NQo9eRyma5b6PACEOW+s
Ib1X0voHTa3whvdcrKqgXHYiT018gh1P+RG78pC66O0cEDYkHE+Yh4rOJppLdyd9CvVC35VN+hS3
2t6PIVHU09RBQPPCVCc7OAzVcpoxg+MqAsRY63ZotExBlhhvEtc6wDp+YpztoRgWZoiL/w3ay98u
mqqh0WGibfTI38op+dDScXVfb6ZoCTxtHG7LbLmdm0ZuNQ0DAsVGY5vurmn4u4E4f/r8f8My6afC
q++nhtRy1T4stfmjU6Gpxft0GuPHtfW7hiwSkehdM1EFOzNtdaddsMytinGMKaOyEzjdJwY5hwT5
YlNnJeaeuBq2ZTL4BxH5r964aCHl2r2lKE0Xt/lJZgRuU3SwSdA5kp3v9yfRg00yyujTKbUlGLV/
c7pEW12qO8Dd9RpcoCKNsjpsB294sYmhjtl8rZBNACnDOO7bzyZJhk003NiJU+0mFVh4P/aGhjHZ
mRDD8xi3js7FbZlMDkyE/sBu0ejMZt5pbnRny46BArdWoK1DTremnncA3CX1g2jUdNbz8mIkMY9g
f7jCS9jNsQtzKQds1TmFDw4BP2c1vY6imlfOx4KMYGCGdI0ycO3smjjtxbFta2sXnQPEqp1ITxD0
Nfi3a0nF61hHd2zgfDbgznURVpOMwp52MWwL/zVlkQB6BMmIGJ/H2Un4J5uekURvFwTZPADKg4FG
6nXkPBypi61p85yDa0RG113IaKbAK3JJomI4OjUO5drhkOWIJA8ACUpZJmMgcuLDQFsGnntN8WCn
9WYgH22VXmrd6kJpDbsmc88EXMtTWfMTa6nMTqsbMq4XdCKO660fvzBNBC2bkyr16+YwJU6QxLY8
Y0uj3TPpfr282upt5tFDQzPW+3YXNbYF5ke/y5b0ZvFM71B55Rig0+26nkA3WiZ2xIFOeKDs9/S2
OZrk2QLlINbhTbiMWNVRuW/cscYmz86HrhTpZuZce+BZjUMX9khkUavGEvGQue8YDC2hYA/N+ujP
XMmOwjsuEphtOEO9sLsfdIiEdLs1c0maPS69/oETB3uKPPmdieHWpLoq1QGOBZjmPvoAADiZzpeB
QhTqaurulwU+r+vClXdr850GBZh7QZ63bqMdLiEt6PuOdl9Vn1Jfpu2cU/j3JcqhZR/NwhEE0WBJ
ScEEqsja+8lpfuwRgFQjAj2ZSL+UTHY0PF+F6xpbULBcFhqq+aSmJlCaScIJEIO21mfVqIqNDpfR
8N1PmwNsN8T2OZ+K0HC6fK9r7q3VaO3Jwsg7mvxfEJVcvqOBgxW4UO7phxQ/L3W2G2S9p4fQQvZG
SXBgNOK3mEHORpU+2qxeXkFEP3uDfev0NENwaNB5nb2L2hiIHKRwIWqSY7pxLYqJbISDAU9kEz3D
WhVBr2JJAl5iK0aRxBivYUXnkf7KbPGpTf1qC5+FhMGCe1laOKvjf9ns3UQQXRMlLBoUG+GIug7y
bEM4zcC/DWkvXeSNZpX//CkjIFxS5KI5vOFEv8OV1W0pU73A9DgzuSMJNOQJwaQ44Rw+RDoXTD3Y
v3A3jnPHCKGZFbMKbuFhgNkywESque23qrPMwNHjMdQnhm4Iz4xtTABlTvHgkKaQk4OB0PN/CpMH
ZezdycYG5eYf61iQtWpwGE4ecanlrrL9R68qLmTVKgDMeI68BK6U/8ppb7tMpjLZM460uCoNW9xE
WDOi/LYX5tUfdZeBaXphhHjM55ZAo7SxhJnffuR9px4Uy0Q7p54NF9JvsdFXt2IgXYMww82EYZ0Y
B9x9uw+rKPry8KQBpIMzPRq/zfrPxaS6A5UW77kO2VGXHKE943tqB+PT92ay2NE/xxgE19N4zFz6
0kGBc6SN/yxS9TR2817iiGOoSpFOr7G3pfsqS4Maore5J8ADChLLvtVrB9N2azQIMoK+99F4ZR52
Yj563gTRviSSLOwU48v0ViaoTF5ZM2VV8LOrxrzxi5ThiCwiyuh/sVYeZsMqH/9eMuYJ+xjHYfj3
S0mnRVbHx8g7i/ZIcbkvfVBCSU6oDixIvIvLwTgtfI+ndgY9kzkznldOUsLzK2dngi9QJKekzO9a
vVRHNSR3dVKKAxS752Y1l+baN153WiWeEWjkTCSi7FAszRIqNQmaQGvEUyDKjU40HUTcshGWfm28
RrutZh64qR5f9JnwnqYTTBdQv4bZybfSIJMVC0b8RtxdyCnrASTf/jg43rvbXEDSvNnVEm38pgwm
VKUjk5TnIi2/JwSpQU1PcN2bAxzjjkp/TIKxSp8EKuxWwKRaxmYPpYRn2UQxgsD8XtrlU2G1Z0ea
ZOLBbfcJU4HaK+80T9364/I2eP7eLbJbWwCAyTqyk5ZPmDCvsMlQ/3JOtW9pUd8D4trYxauBx/Fm
IfpuaVYSzDgsefIILFndqZDAZFNmF8UEGszzILn4gyc3RkJcYSBr1HtW2EFnXPyKCrsvT9gPbn2t
ohnW423Eh99KwipRtYKm0OpMD1ZOcXUZomcRwY/EnO7auv5ozPxT65yzhj1qJ5cJiD/fCYbZuIn3
zMoiCL62tdFHD5tINoSWN1Shqv1raxJuNC0wvzWmUNiLaHHlU4lV/+xNHhgNLm+4B1579rpF7dYf
qvdKZ2cimEVG+VCaWcTAPvvqWDaBSb3oIJOO6dtUgboxDGpZ8Is2WX2LqFtKJ8N6CoY748XXidNm
yua0ZEEEVrpC4kxyqpQJePIRW+aWI+CUleUKqquTTazBROxNziSTkIhqlE2UMCF3qAMVHxoER2EP
HwMx5LyROMcM97OP4k+a46dU9jd53d/KsQprqyNpWIGYXozh6ifFR88ChKCp0BDGLj6aTvw0xPKY
2fP3wgqeTTuatzEPU47SwQw9mGTs7hj8+NkCD6lX2nPp8DTR1vTjaD1m+R0LBJKgi2iRc9FfrBqw
cnJHgvUsU2ebRhXjfusLxz1kC7Sz7cAILs+Rhgzzk6seDKgYTrItjtidphDo+u2c7mOvj3eo5c0m
9Ul0SmX+tGmyg614YgyBMlqwhmuhEWgtYwuR7HfOECT0jo4g5oPuy84J7NKVBN3sM3bxJ5E5G3Ip
aCb28DC23RceyhN2Uj0YqlocTHS/KpI3hk6SfM2y+tj0cWxzDLejeGU0sItH+S0bKvW0ay9cP2jy
8UXrmKtKZbwnS1SQlhOBz5Xa9beGORz9JSXBl/Fud8aIWZgAqj6mwHl5Mg/K+dKb+a31p8NoFdjW
u2s5nwpAn6jJM57s+CbiZHET98lxzFelA3Lt5WvsRp/NzzxbT1PkbiinLnYE/pF7hLvXgv/qDZcl
Se/nzC52gH+eW7+EWC2JDrTzG9RVKGLkOqEooOnG6sFejEvPm9Xa2/Y3SuIH0G73fc15UK3toc3Q
wueRM3U8nSIIDkzANkmDU3GNzcSO/Vw7C2+D8pets14gGUHJqTXeMhrujdcbD0BfvGBOO5DmrcYb
Yb1CHP+w37vO3aVTgjuW8i0w6+HdaUGq5SRCjbOKeP4I5NuVF0eTSpy9ivvndDSuU37tkx+oFw+O
mUfBfdbZexlP0BzF9AIe+Vgt6MLEiAKJucRuZrpOzgMMsBlNoaZeHZ2nWJLOXwmesp3D/HRrzONl
meGSzg6RAHQ3jIFUR5392Vgd+1e8JlxIp3J/T+c+d14b0pE4OG/oOYeg76rbSJP/MDXtsjn/dE1Q
AaL/8O9lIg7Kmu50BP/W17hrY3rv2dfg5tTgVub+c5jTH9RMB65h87OIkmuG3BpJk0NszR8TB+1+
4T026Ymn5YcZsUcfgRBZWe1hsNb+WzK+zUsoi1VUXJL0J2e300bTID3bUccwxwZN5CJmVgi8ZsV2
mHmOtKDRS7CeO6R4LhtVBU5hUYAWXrqNasFbZ431bq5G8Eztt9FQqSacM8ksDsW4fCXaQHLJSXcy
pgssq9sWxRzn5PfU+CejwvSKMgDbGjRlzaeLhARBcqZbJliWvqAt3EpvDyc3FyPGfR+qmpxNlCZ0
AeGjnehY5Mjt9W9OBlMQaGInc56EcB2RIPY2rI/tUMAF7OdjNPQWTwyi2kIyO+y1q14mPyWnQigs
8ebVNvW8BPBYE+6Nh1SEZAND6EoNSuPBUv2dMRB0Ry/zaMHiYm9s29YkvNkRN26/49VqWqHjkffC
3V1zIieVSbAjO9n+9FaYgAHQBuyVMTM2nIJxg9HumCWIkmTwSuIDc0qlR/3cNom1hcTIcU4pp0xx
4oMlonAj13VhXb93khRh1jpVTrVJNV/jKvg7W7Izj4QprPEsB56rWYEnHkE7v/VDFgGUYBAyOg9C
14dNHA2Pel9Xu74UL5E9vmAbJU9SjViJkrNlOnepwURAxy9H6aKC3LEvrLW5MbxoQ0qUZPtC6R7h
rNmX6WOr6c+W1ST47cV7PFCkQHe4WbLyJkVBDLzUeZC5+eT3gZSyCksy+ztWtpC7Y21BnQgbLOTy
waatELYqF6v6RtV+J+jwMCYojUZJ1m3W3G9R/2A5e6sQ4GiF+b1I29lyWStWYCd6zfKgjiCjSJxT
pXi7RPnS1XhHskLcWcSktbI50ue86aKUQU2JFA5OR1tejAfLQfgXerZHO8BQ6qiN75jAPnOGKVg1
DSrCMMWitMlM4xEgrghNCPOjqo5uBkZDsJiqqvRPiFZwnr3VKc4R5RYIppGxPKSsHAopdSHI+CAL
ne6XSQRcjtz616cJKSxQLwk8J9UxE260WWxdIgjUV0ABZg97JJ6xDBdUtC1n9cQNBYEksb7sRL6b
9ILnFuRHtWC28bUduTMOLnx0WsshbBNmZfBE3EB78lh/gs9jZ8lznaq3OmPCHE9RqHLn6rT9TTfF
PIRIqgXJVN44o33bG5iUo6YFjOLRpUWtfNGnU+ZOH0y+9oNkHIdkXpAgFHP6r7BThK2kGVlkUt4y
kLrE0/g8QjGhMFjpShn8O9387BAxNEXuN/WgJJJ1D9uK7LidnZlkpUFHKeyritlDE720tscuHFCj
Rsd0tbM1QPpD86Fb9Qlx7XHuMo6R9h0UOtzxIb5fSbQLGTxGffMmm+BtkMAT5ikq5a9WeqxdcW6i
MeNn9kPdiWGVlsw/ogT1tWroOVsyMQmQQ9eagqzOj/3kfDJC8ztxkxptEbp52wK+GNrQS+Iv069e
aG549mrEgJNhj2FuDL1S3GXgmfb+OH55KOhunN3H09Qcvf6eWcoSLutIyyFsiGQwbs1pfIkceLJu
vZZbhTx3W0StXw9KIV02q7rcggOR+QwHz8KwEnCl2XL5uO01TjLWbDn2w4jkQuD90/SnjRB9WPjD
dLs4lQp0c/p2Y2MJhEuzHLnVK2XZa04Z4wo6AkH8F/O3O5KgxO4cedVN6bu7FgMZbgpMGYm3oLxU
X0jit4X1QmwmDn2m9AE93r/B7i5mWe5VX4OfNZW3SVqsnTkOhSXr7xyt3tdZenEzcqzVzMet8hv0
p5+GZ1CArE824lotg3/sS4iLul5iJYlZGYj83CFFhbWuHZoM4VP6HBwJI3AB1GOEmoXm5Z6HAkvC
2H/wSE5xKXeByeN0GbH+SLt7Rm93Do4jsfDl/SX6iZbRfyiRM131TG/tEjd8ZCfRCl2EAVPyDKye
xmwsCQYSbx5MJmqVgYYNbm/hPhxTWEwWuBbQBCL2gK3kcPwHebU1fEUFgX6k2SK9cFv1BOU2NheN
L4cbr2x3PILMHQ3ZZpWQbMnYqI6H85Lg5fStCZVbF48y0Y+Z0xeHTvQvptlyV5nUA/Sgv/jxn/0F
A4Lbx7BHMp4SKsZBU/hcEwoBZriCrKYccLlNE8jv5MpYzYFfBNTTsZvVnnYTc9W07SgwKWSTK+ux
3EB3KX5tPJ8KbmBQpflAd+UCQk2y90EkFRaCKl4n8B9+T7oGFd4S6t7lQ1+K5krny8KeZTiNmf8b
z/oYKJZglJB3gqKun2ZxMeTssuAEI7MvisNAliCdeRsnz08/skGbAk6pPsxbyko1Vjtktjpir8Z0
sFMbpEuPVhHfDr134azi4MwHloZoZ2MuXrMmRxhprlRm/bHQxzd9xD1GotzLz12D6OdEPcIead0I
kGFX9PC1waylabrzIEkGxpivW2ioOVIfCW6p6H8C1WpHR4i9uYzOtohXLGvfPPRReekqnY1dqFjw
ZOiIsToMKucHYR8pw1q5oMZ5v7XPDqWmcrNt0vcPypf8ZbRZeHsKw+o3zYJP2EHc37Mn7QlUMDSZ
VMMmge2o1OvHBdtiONjlsz6kxzG20EHBqbTLr92COM2KF1Xm331qviufm80vtJdEIssuavqwY+dD
mIBbs9GFdjDjHJP1GFhOcfi2Ow3QttZtisaETM72vXJG70R9p72moqclE8YidzrtKX38OyrRIdfH
V2SiwGu4b+LiOV26j/lT70ZENm2TuXu99gxm7vJIme+xkAv1EMQVNm+fgGKLmQ3eBCPmrRcT2AMR
shtBgNTzAx6iqxGb3/XcPy8LamXlFK+dyJ6VlKRm/YCeoZyy08hjeta926Ut3vUCE5JjFED2JlDk
TfNCUIAhgL33VWnvHbatLEzaejf19s48nu3U2hpEYPZALy+apX3HbjWxO4E9ZkwhOSdGcpOr8kmc
FAf1SL+86TtA7z5A/TECHRspSEgGxT9kXgwjRblh9Hmv0mbbte5nZXlHU7T/2qK+9aU3BbJk3CSO
Bk112LQZ/LnchaLFmLVhdU8bT0dymfcU1/C+2ZCj680d5Qw8KIUug2sZ8Y6n8shSM1uCyROlxZR3
uaQloNOsvZ1m7iUCZqisKayF+E1gKw4yA81dgOmncmaZFWjq/cATjXE22DJF1j6y7O9Gy39y1/6Z
QdqlinSPi9SsruNE5sHLzAelodGsiwIkPu6AjRvM5Y1lU04Yul01b4rBtUIlyyuVCRwrbIaImj2w
8YJVrdX6DbPFyZvInS/iBQIHNUuywAEqnegBuwh7mUlpef6lsxOYJfvUNtqwnVhWEBNVZN2twdk7
GPhask/Ll+yrSW1IV924Mat+2w0V690Wog4amGvAMYQVmcpQ6m8MNd+bfQWxyxo/lrx+Ttkr8kU4
LzmwiA3VhmWtHLnsKAVku1Scgx64IVvnI2Hh5g2xoTgcC3Gpi+lq6dZtr7vvdaFvvMj8l7P2mAhr
74UyDnv8MBvDHcRnBCZ6rZsMCEeyOos2eSGkRaie50ORfOtmPtLVv2EN/zEtxAXMOJ9lMV+nkRpS
Jjw2fCNmfUEDLA84WFnQdXc2pkDMDSB3X8fWeHRtTacvT6A10nVFcQ2qy5h0DqvWCOHTcBsgeYV1
5Fgh+0Ff9Rn2nM1o3lRkCHATR0yFVMcxovL2ZegIshg851omH4P+WXXzMV6E3LrWcjcpxoZ6wj5b
rBw1xLVqJ1kltnEzrPkpVm64Xa9LUjQ7vZ36jS68fke2+7sYeCJpNnNPjU4rBTC6GIBLk+EZ+9RG
V/yFUaY/2PwAMH+s9OgLpGOTasY+RO2sE61Y3poJrlVsoptTgvyAdeJ4oO+YDAsz0bDpsYyEy4BD
QY8/2wKxX2/9r8WgmQVy9zC0VLm9czNM8LdqtQxIT8yBSILYHwtSclSlcFpc5PY0N6kn1NUtzY7n
JINwVkQRNrJzDQxxuXOknDbSpTHKJeA8RD1Hz2x2/NDGzzNLdc1xBaigTYcduOGwMfvvXvOi287+
qCUqumt6BWXJ8stpom6YXe3kBEwdeTfV/vX8IZ9zT840Zgg9xIYV2IlHY9nsjAqDgg/sZF6nB0Ia
+mVOqUQL/yGpxHyw7IpueB6braMK0OXGuCeW1u1azc35fb88KJ7PWz/KPwYzZhlIGaGxAua0YTg9
1vkexPaUmksQRYAW/fS+VPJHtXpNYBvs9OzNr2KCmD7ZaGyZDUQuJuLbm8nq12nUgREtoAhwzjpF
WI77OsT9tHTJtbTwe1uDnrAsRL/QvE9EETPUyILTf84zho/iommZEYhBvCsPiFkxTP+UPyPGclFp
5BL0Bq0S+mgItwUouLIOU2u39AR2ujMw+nNtG+uDlpxDBj6v6vIaiaC/0G0ZSV1jflptEzG5kkb1
FxdKlMmgftuwj2fXje0pk/Z7AdgDIb67se3iyJ7UFy1jVGNaOxZ+rgInWDnHNNwwMbK7RgHQNhFD
Ytxz+wVaRkBuiwMp3k3rEAafKROmTpFL9a62S4Wtj7SNvmse0MT1h1lnhIrR8ujkKnowyb5gZodM
5lYA2kXrbCoDH+E0I68R2WMnGmdmxhtTL01yIXPN9BtYRZDkPCq5hBYj4ofRKycoRyZhHqqD2QhQ
TcX0XBn6T23q0d7wWZ8BDG3mecl719cUkQs7vEAfsUFXyxhnS29gcQkdgNSo3s4ml2SeZtXWlnN7
6mzIp38vf790m65Z9+I9+ujI8KYtht7OumLnvy9JbnW41GtsPAMBAmJ2uFK7YeZ1iX3ympFD8y5V
jT1RXjDIabssNkmzrr/194J1nJbNds5uj+3fXtfl/O9Lsi7Gyf6247B/+UDsNexXdCgJaMCgf1+t
iND//WW9gq4sOM08Aafy1HCH5v99qa+00Xl9icqI6TfBS7pU0Kh/L1r6f7/6+6W/glNZI6qA2B21
mudNUwIPpHjmy78XlkGw38Ou7+2VXZuvu3kyHm4BoiU7fddZ6t+Liqruv69KXwzG9u83CdlJjLzr
f1QYZss3NH+U603XJe4Ii3z6nxfbTmmqx4tVJhpBH/NbFAAOPb5D2gwj9BDFKBAE0MhI0zu+CXfg
oyomtk0xGbHLGrVVYnqMRoZYnQuSyhwXFges78zfD/z3FaUOb4LK7nTNAWtAJHSJC6Bwp5zY9glH
6851pnO5frqD/dJJTGNJjBNvdkPPqhsY/rkFFiC2GdOwHBE6/nnUeNf1lM0X//vJ/H1afy9y/dwi
xUoHzEes8Pn4uw7S2Rbb3rA/MokPvzprv3aMFjHxJrnG04yVdVPWLfM5enHL+EEQ/WV3nUbWnKCr
4m9ZtF6ewE+R62pX6nP2/70vNuMztuoe/t6r//6Y+TYPLUdQBLZqYha/Qno73YEf9/flmJuAbtty
lKxOdL//+70Bn85/f9z/fRm3bn36exnLlf3cuhgL/mjCqaf8nJtsvWDXy9QxF48Vb/nVlDSe/11M
//919XdxRXkZ7SDYXXhGRu3b3yWpBgPkbQ3xxZiyDMNVcowxOOz/3lL/j8D792ZP/+/W+O/++H+/
rGSJVRUThsvHWoIKOP19VccLsl3HnBFjBJJoK7vTfy+6+J+v/t4xpgmMezsm+EmrllNB4XSapxwf
0/qSO5rCIkhJUuGLoeMGSji0bfqg1hfGCn3oQ8jZ2V5E3zjbrCJsK56T4JqSBzFnfLhmmzHIRtZN
W6QRe1o8opTCvWeG5FzGdD6p0rLCXiQKNxO4l+7/0HVmy40qW9d9IiKSHm6tvpcst3VDlF1V9H2X
8PT/AO2z65wv4r8hBJJsWYYkc605x5w31PcD2tHnv69X0ak9aU1U7+a3z09ogUM8REaZYH7X/EQx
hM02GkmcVkNVP5i6e/WE715LW6NNS2E4zThEEhqqGhvoq26n3WV+ReBV7tXQ2x/IwKcIpf+8M21h
hfsFo/WgJcuCsvPNVBz/ZpW9WFESah7HelX6N8XJiHkpcw2tN7vzhjhcedDhz8zvmt+P9ai+DNwk
2n9f9XgpHqOsSNtzkIZXR+TWISpb40qyJcYEbNGskyPjGkzHBnzQq5Sm93I0kgA2DjNxBsLqc37J
39dZ4QECpHKZf1A/sjjmBBhXaD7Q78prWJja45fML8CFY5CSOLKAwyfJKMivE2bhbJTEJzwVwSS6
gABNvMg9au2htUoEeVVPiRmbV0Np9+Xo6cdhei/ju3lVyABYpJhxN/OxecPt12SKQyHg7zF1iJLj
NB8cwtLbyVL+oRYZ3go7Hq5FsZLUvW4OxE0L+d0ZnK12tazhHsUiOzRNoF/nQ+1AV9AmJWqpIPWY
D81PRijXd5bGYmA+Nm9cfaj5Z//3EaVkzeezpDI04nH+vjTra+hOhaSHP71kfiIyyaJqLOP972+f
j8M0eoormxCTfz+Vy+SLkjR9+fkVw/Th06ap1q2lgAcq7PIKdTlzTO9STJvKgVdrkDzXjRiAHL83
r2pum1fBiLzIraFEesgx8E/mFca5nEildMKmY/PGhRRxmLLBQUf8Pb0ixUzOluHScDv0FKae4rK1
V8oIpLTsSIdELv8qrSg6SNTzdIURD7Q2/WHJTBS2d39tyrsRjPeqYb4+2nKJ6e9n3cTKtZw2WSWD
daB5wVQ6967zEyInb1mzke2Y6GhxNMgkPknZ7eaXPI5V3qFkzX997EWKeiPn4tBrhrYhLj3YFgpB
G9iNxzOygKcxJ35m6nSFeX/0K/Mnd6y3uiZiy2OZFckQ5X1NOz0+m2gxnqSihku37ol5r1ZjqL5E
neY+5SW9WKk6r4XmbWuAqbXHB2bUeDIr68myUZLU7qnHnzTgdGuk/6twYTWGhR0u69x6KsnYqVPP
XYdJ88vr212kYhgrQ696arW4enLz5FvGhIzi6s00+dsqEwEIfOdnOlUvqyNd3St+Gq6qb3U/JPoD
8TZX9Imh2tyPTNYLfswpleOXr5BHyrV/GNBwlJh0eThvrMYRzO96W1nMD41pf37GTHLQQpCfm/gy
1pJhY36Bm0TeP6+d9ws1UYGa8q7q30deNg77Mf1FPglxY/OT/+e1j2fmdzhRTXh8KnalokBd//vq
xy9toVCjppl+Nn/NW1I03np+33/98PnZxwcbATfYTURc8fSRKGzqT9WgGcvB8f7zsedX/9ePfbwx
0ptiWRUh3qfpnX8/r/r3b3/8yr9/sRtEFZZd9/vvof/6w/7vN2WKwdkapIWh1eZ/8Pc9EjrYAvMd
IM1B3kvTjDag3M3CkLe8KLpnJZTu1h88+4k0gomxayBZhecW7fRI7Z4N0Re3jmrMtDMfiexKbgon
IE8+xEhJr3pnJx26hJoR5DR07XAo8v6qD5uWsI43aSnVGTE9gcCRtJ+NpKMIMflkD+ZYDXSB4sGk
GRpSNdVZhg+Vi/SI1y8VY+ye50d+hn6X7nN0QN9eUWV327XQlfrZYoVHeQvwDAsNlWVXZnV3FxXp
FO9dJSo2rIIoY9Xp3cWIlHQzv2veKGm2jGtj55QQUi3i746aQXfGtc29GXfx0eRafipVhyQY06S+
naEHCwwChTpXjrsS6MS8R3rCSAMBrUlWY1TzgQ9cQhjd62zIMDlPj5Tcj3Y9/SKP3p7j0l5qnxPC
uu7gPVUinyZcoWgx5WHB4NY5/Ci8/jNI+eOdjAW+EMhFC7P2DkhCiALUKvstzewN7lXS6kJJuFOv
n2i5+gvoOvano9Mnpg+cno3YUm5K5n70dBY+y8I5p1ry5jne8MOIkAHR3ri7LAsOiakVVBoL94z+
AaNSrrxR0rVv5TiUF96MTyWhiMN6gDKbOX5ofooNyCv1d5sRaFCM8NlVMhKxs3aC2qqgHZzJb63Q
jD3lCVF3BMiUlE+aGHhlezDncyAJad1zGlJMxPJ+MZmVbgvKekB9gvX8KSHiLEZNIxqnHbeKVKjj
U/JCLVtj6ciE91KAKpiadP3JJ5h0bw3CXxip+is2s+FKzVc+NmVMZY7I9E0v6z/QsCodvbq0t7ag
BJMRmu2NQwu4HPeFrQybUkj6+LYdge+tG/wJCIEU9PYu0VLnvxtl2q36+prmyaKdMGYNwBLcKCGt
hWm3aoTBGeXKKxBMigrFa5L6xh/cTq8wKeoPmqDw27OiWXshiQi5tYHSYNeLQDqYyAmjPWrY95+a
gTYtwT3Y7lVWYgfP0r1D07Xe41FsfEVZrxyDeCj0ZYmMjYgjtXg2JxQdMu/XylPcW0mPhUsISZ/S
WpA9S6lic4iYW3qeY0KtQVDbRU6611KvP1GAqPHSeWs0A80OpVDxzhcG95ogRc3gvlnEBsw15N+9
kpS3Wi++nSEO3qEqyiWy6OjSegjtzII2mF7I7xCNA5EEAFYCS1sbfVFSPAe42gdUErWa/oChYoYJ
a+ogQ9y6l15nnRWPTNvEtDsfA3uyd4uSqIyxH36E3DeMuvnsXQD3CRO8dcyMijElCKiaVQQlYULr
CR66/tcmqS6+UzgHw6U2mUoDou00jJQhV1g2imtiRcWpK/1nIgQIhhS0uQ6DDlRcJw32QjCyvadJ
HK47qE5vSpjf4hAxMrRHD9RQ+6EaqvXeGkW2LEpNv1SNSfiAH8N20ADRFl57rCLJKpgW0JpYZ2Kj
9cC8O0Hun3Ds4LkZdpkbfOpeMll6koFmTmnI+Vgr9JPawJhYM+d0br6C2NjEgCzxNhxdnbqVYTra
3neIBU8mxE3g/abv4pwbgykKiKSAmZBtN/DHKNYbSmPePbOqVg5S/DVrO/tYBOE3Wu98jwkPNIsS
cEGDRvzpSA85JqWPm16huGVR7/8QPUCH3NMpVFrpISi4KwpL/CTBF+eXEjS3zrgXo8NpayQxYhO7
7lnd8V/DMoLpV7V2kR4306DIvLbpXtXYG5j4O98D6RpEmqot4hquXisnUZ5bVrybr+ih06ot5rPu
SU5cTS2FV5DCo83p1S+HcJrAia66ORNvIE87yqSdhx5p2sX5YZ5ZFVzcxLNPoeIXrwzT3GM6JrG2
L3aAoPmcmXmvR9u46175h6CizIjVYz1xDUwTVrZadNmpnHbtaTcQoVxgsCCWKLfCM5gkTF1hnH6b
2SZuhuprmNCoAXq7UrXcT9Tf55lcC6l6oQCJvSt8+ZSoBENam+V/0K9M4j+E+E+hGVFDwLJ29Nw2
XAddrd7dMdaJC/bbhVdLwscmWmAh9ZBCvZtzmrIbojk8CLLYwJhzeSvqQhXVwjHNiRgp7HDjCflL
dyyMl1VNn9ewphRY7toQORIi5XsjPlmf3NLKaiX4CAvVrvIzkAm5tkMEx/DrZd/dwwakSyFcYODs
BTXtT8XH/9xzGoVVfH+M7xEw9h2MNR+Qp9V8lmZxso0YCn1M/zfLOv5qzvwF1yNa23kETuet2xM9
0VMZfYyGmDZQayf6bRzof+iEqq1qrI43X7ePJRbVN3LKsFalOHLnXZw9yhPqSqhYEVfuPAyWBpDO
xNV2UZg7ZxJ1020wBCneiu6IF018gstw+S2GdRkTk16AXpsxasrRfMnwPNCznsq9k/vB0v55pPiD
XGD+A8E6IaQcmEnbyqI9EQ0FTfr5IGlV76EINjHper1Zt2tVBMx6pVQXgY/FOsjsbFXrbfqSIROG
Dmz96h1ygVS/UFcoKpprgV4JJYr2Ou+J0qWHvFakKl77tEqPlklFMp8wLo2Cj6fXcD/3SAEvozUs
0HwNH02FUhORdLELDRHcI2ETwDpE60iKjdHVyMDnO6rCkrXLqU/Mx4y6ACzYD9WtiwN3XQ1kgihg
Cvsy/VY76yU3+mRvEE2xzgRGmrKyIFhaln6dN5BjiBKh2IRqimOBxMjgkNU8T8qEodtbTQ2qxRC1
OOVVcvGCLiEyA2P2Sk4fubdyJIYJEyn8jepV9zHdc85Yv6wBFGXnfzfxa9ICJshVJ/hqdSJQ1THM
n7VRmnuIL3gD5zumR9+BRDe3ukEvddfzXzbvqgKGaGO7IEoRlQrWkHc90N9NA3dPBnt5owCpvdmq
Q8EJvfIi5FJ5IQu4aXrrHlZm98Iv/aU1lXfsFaKWwzh0uuc+DslE8Z36VLi40LJCsV9cjaiHJszK
C2G2aHrt9jnL3P6isSp/VY36uTMHeZn/wY3XP+fqWB3KpLyCrA2vrR8z1ens5NsLqIwamfqpWQH+
NjfMDr7gFZUCgJawcZBPLY0EhdGMbLyuPfh6on41Nmv3QHE6JB1W9uEVcOSlk8dbpaqzj5q7vm0w
M4jdVNzsRH02dC/94CbibtIyWesWqrAQiSOBdvUqNxhmw6w4jGa+7hWP4MW8++4sdEFNB+cqy3pS
0krfOAvsj9Rk8CGGZf08iOyH61LgQ8wADdLL4zMM4zdKH+oL4MrgBfSSMu1YeK8uEI3gAycH1IbN
vSuz9oLGJ0KHcO2rKvldJjcP09FvjR/DdFtzXqGYLi2jnyxLYfHuh4JwkdSl4zTt1swCwEc09LxK
bLBmU4IKK934aNkjsYcJPs/HsBMarkXvBlZ+oZLPXUSsRebdeTPz88m/xHzpVBaoT7DQTSXtk1K4
zn5klugjVodlMR0jG5S7CzfaU1dpeJXiWIGaVJEfiQd96QyQcJ8U5Q6Xxb7gf2VPb4fXxLCTg01p
4dri/Nir6vhFKRMvTVHBp55udfP9jmZgCkmwwIHCja+oovqgl/6rEFl7TPtJoTvdmrT/3f37rBKc
mOP86WQkn+vRqXbqSIenQFNHNR263nwa2lLQ6I9Uwn3D0D5aykiSWaidtYK2VT7f0uug4FZpDflK
N6iBpdUQvXkR6dAwP6LGRhIq6oA6HBKIzozysz4WGvPXVmNOSt37Kc7BOj3QdSJHcl85oqNywDil
0mj7iLuhW6K0FTt92u18c0t29/icxRfihexLZrIKYX04fKR9fOXWV9Cblebd0PR3iRgNB5//G4V+
iSAULFkdVjmSZKgn1Uwta2I4FDW9wm6wi89QxPBN9O7dNDVnnwY0zVOZlStpNx2T31w5UT7fAHmo
blZE4H2drX0S3M5haUOgssaaOQULQ/So6NYNwJ9q7qsnW9BRVzI/egkYpgjkcdYgRsVC1oR50Q5h
v44KsbCgfN2UlPNu/mLzNkAkS+rEwsIiu/TzSp5shegSKkxfCAfQE9s/lMj7/e8DRZFfpVkax/kn
Dap4z4TMD/P4VaO+wvabiFMcGz6OezxTBGs0sAmK/gc6ZUbh5xis4xIlNgAvp2Jcj6qXqohfWKgT
4Tsd6m1KZaWp4zWZnpR10cKjwUY6Pxs5zk+SFJJ14SNTjScCYioQW/Sqax9HmCSvpHmt5uPmNMhD
snYfu75vvgvKBlSeWzIkEZzOr3JGI1/lgDIpazblugpNYp0748MHsvorHVn2q9MNmOSuKjORa2Du
3oZWan7nbfwdpWr8Scea2mFfBcskGoydjCr0I76LC73tzonGV0FnaG2QO4+rDYC6K1v3qyOvNDLs
e+wEznfXu6tUsTOkcKCRPS1qf7sKEIyoMT9IcigIDEPQSlmDCXHvbxpLibAytv1xgj9Bi6JxnaBN
AB1UEvcB7wZkGqBFNvYSiKzPOtIrXvp3LdQpvNlOfXGVFi18ZThUHPP6lBfgNgK1dEigtbX1RJRL
QFEGsaq+uFb/SYa8ehpIBHkZIB4sWLN7W2EX65FzG5ovbitLcnrGtbTeRKywDDeiuxdjMErHGL29
abC8NXXil+aXkEN+psXpo2mstX1SyuCO25gpqDXc5j2wI/hXHKqZHVk18yGjdIO7If/404ucWIzX
etQQRP9necqfALpVVYH/TqvVEfnzujBRFCdxQS6VbjHJyj3rJwVUuhIT40/YjrVSKguH47Q7lOiB
HFiocZrFn4Gdv7TkQPhPPnAaJnh/3Nz/wB9yHD1XHtM4j1/lXGFJtLpivtVaePiB+j4urKRzTrIk
UI5R2Puo268gbNV3poIsvPkXu3EZfjWtcunSrHn1NF1sy6J96TsLR12ZoVkcE3HJ0kAsGqkv4yYx
7xACTP4jfBxfSIVVTKotRvLvrninIP5z2oFjWTt+gyMMzMJPq/yOShYBAMHUdcEtD4d6HL4ZQb9Q
GvU0MnNHJUisDcJ//eTo9CYI0iW/CFkCrLVgQiqQYTISeRZ2foZo2YehJfxw26WIwuGE2kTpFPLk
5WReNW3hrhOp2OdCcajlaNprUVnYAAzGesWeNE9p1V5xPyE4tH3avzj76QegdIpLbcO8V14V5upX
6XbxVmak9ohCN1ae7zDZMNuO27uyxfk2kfzGrhFbOXbfhWWxkPZHDWT0/JvIk1sZnk+qRdh4wVbn
dAMXhVdeegHB0XqWf8A/yTsdoXTdrFOGAk5RMz+rTa/TMW7uQi2aHRQwc+3kkbWnMmQgjqvrWycm
xoU52UDHO77WegWFTIFBY9bPjw3Ad0y1Gjig3iirdR4tjZDYia4Jm+d5I5OCAMm4GTdBlnz5cVo9
+3ECdUkvfoOJejyYjvgxxNJRCz3k9PmwZpGYbwVO0ve83+aOy/rLgc/hFzQn1IpHknMqL5tLXdn5
pYvTBgqXJ756/o4tWamEqkX+cQbPEqABXczSRggHbXgGHXIiry+YkvYoSCl8VSC9K/USIi+zOk85
P6qnTSGSJRwXtBAdNDLWrUG/Ri23IRJqAlvrNXVFmePR6P3d41+B93lYhT7skSZm6uKk6pHzNtn1
zEagHjL79dsrtYLhVqdZ/jz9ZTgv/F5Y39OD3Bnsbz/uqadBKpRt92JZYqo/NsZGL2z3LdCHnaiz
X90Y6VdVbdJN7UICSurUWTxomYrP/cfOiktZo2SYoZ164UINS81D8I24Up5RAqL0n/zij9MnE8mp
DBWFVIHi3AZqTM5nGx+gALuH0MdlOKfRFB44xzZxgwPkeHQcGfqbuO8Agqg5WZqyignZ9IbhKn4n
JTMC2lXk05ZC3c6nwTAAU0BgFKwQ2VD3oDIyb1S4N2i5cXbpGTxh+jtrX5fxsz7N3T2/wifccG/T
TI0AqWHpT9BMLa2cTQhVaZ0QenIC1Yc0G223m5QBv5evRiJKoQtyC2LT+930fzBmBb8yBRlWUSPD
emSIROh2KxzB6bKNo3xL6tFNqjz798PpKcV7Al4fwwDkQCEWfUjNKa67+gBiknW9GYZfjnrQFZR5
VQwHtBHhMx5c9Zke+dI1+/TsOPKlTbvuJdDD7iUmegj+8t1z9Wqf56yGCKFImIHqWv1SCe58qoVB
JQxaNJLTZUS7XKUjBrzJqCdhuLHvckkUYInRoK1ThgqBvNd3WnF+/GF6qwcb3I02ai9XbkpkLpvE
RfAXxZg28sRyNsY0dacaUpIAnhqnhgAf5Ha5FZ9Ev61sqKgg/8ytlpjKeysxTbF02Q3lRD9uE0Aw
//NknLs/9VE45xkjWzH9OJUohmfAZdJTRUWRdLS7plrkYL1AIiVoOQeRkEfga9f5Px2BYG1EHNB0
q7ThEORlv1cjFqcy7H/PV06m02OKomxX+457Ko3IgUDjxAiy2o8mzZUtkVt4zT3l2oIG+EwYlHDV
Bu4VD5a2MRT9WrTBuNSnZX4piPp0PdrA2kTQLim6zlB5JrGQV+ahC5IpiQa2u68VKsauNPFCZe1Y
7iiPZ3U7MRmoWHT9hBPhiB/fgtTmjMVYvlRsYzhI38d5GOM6pyA//nSoVD21I6p1xUkwHjeacjCa
Ylw5rlZegVryL8RvEWLJAUic5yrjoRP//vsgXgWeRqcxLj4iL/ZXhTFiHHfFL5mFwypCJrCjfl8y
xKXtlhJR/Tyv3qMpVGnUaghELXU0iJbItYCsPyUYNL40P1y7em/84Rzbu1aSbywgeSvTTYcTviv/
qVYT5yeTbSJv8B0dAqcwtswocrrRLi1G7niqgS7TbdrNY/wBBUiwQWq2bzbJnpGIxx+eRSSCIWOq
qp70aNoL/PiGqVMEdImLyDQMTrp7byrME/1USKD+2qKmHHbFVBwhIWNZlWAg4moEPKlxHtthepsH
+zL0b3mtmmdCuyZLcJV+R/K3EKL+WaAjX8KFXnTSGyAWMpPqVc7fgngYEEn1cr62AJI1z31CSqpq
hy3CG3R4E+iY5Ya2TPpoJO9QITiSIHTDDKkmDCKguQ4fyzbV9TxS2NNY1o8jBnfkt4+wmFHKP4Jx
8WYI+V0msL+BAvYLLxg2YP6Z7yh58t66b13qjFt4GZA/NU/ucw1bW5MN2gngAe5DpX9NrVF9R2yk
Lg3HL88QNltoVuWpRbOEbwR8Ho71sgJ+5XsL2Vsj9rb8xQIR/6dSv6jXmWt4pvlKgsA9UVRfmlPq
kiyG9KR3aEx7UovmTT3Y7oHKL5m+5gJEQXipzfT78S0HpXaa5wO1jn61bwBEUAH6xbxcWeStnFjk
nXocrIT0PJ/AEbjo+1DjHjTNMTv67qcaWbwQAGSKQhHXjjyFfdwZB2voqF7nRdjf4eCbKFXT6pRi
L30iQme42gIUYErgdm4n9i8n0BFnFRIyeupBsPCLu0fKIe4okJIDWioUXTB51apb4L72idyBdKNh
q9nIDJPr2CcEG2Y4hB0M8+3QiH0TSBi9oJqw2klGzLLZzKNq5EMK08zx5Ia1Ch7HRvzt63B2nNG9
jwSuoEnv74rlhpv5LKqMVu5ju0cOSQf4/Liv5oyUJxnThAAs5Z5HpfjlMi9nstyDi8xqyvepubcJ
0LrHuXafs3/MHK9j4sa3yk1ukU6zJrBr9/r4gVVIdcQPq7VKNOkytKieUdzQV6ZVUZRtIho4xY8o
9A+Or7a7zDb8E5UrHZUukxVMYk+xFdWX1rHkU9N6mITIA7IvjjuOFEvfirYkkWDMLXsJwoM+2jSZ
cnrGL2YwpAJaKVASLyhUqrg2tuCyfA+6nACbMByWoE7EJ2vV78igl5onkKKw+j07Xu2yaINEnLTh
Xqpmj9gLr11ehi3eNR5FevfPo+DfRyNiEyly4/X//9oeFD3eMVxaFQOSHHNoAVO4AV0kBWsw9eY5
1IBSMkxE515n+ka2qbbDy5+vNUPEnyEhYvh4u6+s1RDXd4ZyKh2d/JEaBBt1Gd1T4x9NEu8iycoU
3fgt0xP/w7LR8wb4A0/k4XlrCoUnD+P6DvEcvdO0Hc9mA308rqPmxQjySQgCzmpQiDqlgLDOJq3U
PO+fN4AXaZdQHYXG8u2VOf/ZhKQfM4L9YCggh9GtsLit8bsMhiDVa9LhBCLpV9RUq1VMdhBh0GzK
seh3Vqk75SaIzBK4M5z2dFpjpi18qKYacd2nBTzYkALLoFEkog+sPQWsJYGk4hpSQdbukzTD0YUV
5a0bUD9jXfE38y4MKIRM/N9DVq+EaHkQo23axkIfwq/YZ/rrKL8esQWYoKqtnWs9ZX88hANGpYPZ
O96h8KamPxr1mW8mHD0/zY/mjUeRlHBzMsOC0ghXmg4UTx8NsdewxM5/4rwZ0jfaZvlHpI4He7pv
6QiaMzjGXwYYqcEH5LDOtN5Yik7nDuolO0FwGd56Xzt002Y+Xqf/pMhlgW6tiSgeKbjSuOUMkiw+
OK3mgLZ5+u4V7YesCX424WiYsZFccW+Z4Ixb3GuxjwNBgxsR0EXLPRd9Tm7l24xi8VGW6MhjBasB
mC1yF6YbzTxYyMB9e3xSvSLmiZxAB2ID4ty2ig6DmXK/lFTBq0SD0MUGd516qItCrBIw+kB3Y/Om
YMGjv668BT7hoMC7IZBPu3gpvSXtbHMlPU1i4Ap1bHEjyrTto+sDJH8XoisHsFLDArLnnhXBVSFx
ySnApAbWZ0514K+Cw+CWwAf9MQsRNPDZGEqAZgWySG/SiJFRDEw7yc6OYjt9URwzWAZDgkK9IeEt
dI16mdXOTekT+f2/D3ymTqMSeEeDTAsavhgv5+KUpuE+mBTdZ9uiE+CL9NBV1qTgV2GZmQJniTL3
1dugDje6Xw0fFd6Cw2OQLLXkcVrZQkf/FQnOj8wL5OOsy8ZeLpoKe5ZMk4Msi/Q144tixWvYRBc4
NyI8pvoF3Wq7LKOtX2CZCAKDxQdRoU8hHsx15sjiMtcolTxUz2pO0y6udwaajtUsLGGSt9IrR3nz
WELvIsDuC9B5OaQqlTI79UBvB16JdVSZWcvItt/VkTn93MXRmYxfw9qC9eb2cmVOu3Eg9qLOzX0y
6vXK+c5saML6NH2yXUV7jojDKzN9NyocHgK1utMu3Mqo0N/dOhv2AZVF1FPfhJZ4B62eAvrIOuIh
fkNwzCFVDZIkqSAlOZkSLWq/WelRTmYJLm9i6R2QRJlw/LWVhc3JK6hT19ST/GmeBPqw3SklrUQW
IUBKtAmtqgW4/kFq7en+5WcR4t+gw9tTzg01YnCVYU2NkQJ95qyUnhYtplNKZY/8Mz1kGFTo5xRj
pl80PEnMt6ZxZOo7P9blQZHauDei7MVvY7luWsESqNRTInYyf4m6nv9RU9PWH4QebKXlHs2yZj5C
KGQxJaWYnFsnBo1DVkc5hGY99PAfw6/RwXdBpOiGNaG32uu8WwW2tkrAGHhVWXgLwB7HjL78FmVh
ucnqWpyoDv7ziJP8n0fZSerQKF0lpq8rUJ1glfg0TAXf4rTJ3BLCVDJJtMIyOxJrUlySMn4RIp7Q
bM2A+z3w+lU/3TGx5YKNE6TjPr6hkhctbBV9BNAVZWm4QXDMet9gNZKHFZ8zik/GNMmbb/dJQO29
KLD3tgBSYkNt7ziA80m5FXFZPJuqs6HGFk/fzuMrygLjaHT9oSuSjyEalEviKPVbbO7mdg/qsfas
HUav/qW2oYdtACERHfxcXeBVXZJkCeFDyQWMiTT86aTx3erWdqEGX2bF4h/xeHroZazfcCRv0I/T
jWLSLnTjXIDtZfkRjjrFrTh+UTS6a2ba4H9r7S7f2Kpu7MjT9vBmhtaimVYKZZs529pL8VzOMz7a
/ScoFOWmMTUmF12kvLZFs8BuSXV3rGg4uRbfNPdFSwbGHmUEcjFJZQU2WV/iRo3F10S2CvyVb2vi
K2qzz1nF0ei9fidawTGV02MxmLs9BXkvU44utlgXp2wN6cjtAv3Zda1my1w82rKuyyj80ADqFIIt
vVYu1Wwxd61Jdkyv86MMQp6jrprRYr4dc18pKpbYlP/Msx8WrzjqzTdNGOCLUgN9lktVHKRByzC+
7siaevUd9Tc61Z2vcy9IqitEUWp4esbZNa9qWyds9n4S1auGWccOY0yJ3TDezFIRlarrgjr2hvlF
8qwSObAIrWT4jMb4ubF9asHRwJwible03t0dKoZ4IzWMuJFLj9Ptp/UARZ71fJ3Ml8286zgU1wcj
W5syUy74NoNL2wdIUaAWQSmlHDkt7aqp5e3kXrJ59MerAbOgb1y8rNS2c+m9t6WxxsQUr+ZdJyjt
fQOEg3hz7g3t8Iv8JiKyJ92cG0Uouv3QuESeVt+EcD+LBKFuWik/uQMc+oqm5vRgGJ3hSshCvBiF
4U09cMJNpkX/vImXIHG3ETrsL79yXq1sUN9kZWkr8vusQ6wX/anJRg3rKWR0vaBVpai2u1Q0JTx5
Zp8dgTk9pwJ3eEwV+kUhGZCiRkZ2sFfsZB1M1XVUEBWaH8ImKjRePYXMOLZJNou6+qZpHUINjWIl
+C4qsPyUDYjgdN80xm2+Ccc5Sp1ab1QWqNgxszzvgOhzQddKfUCbnVwMWmzQt013qU254SFxLmeU
mPDrxzJYcWVmOyOokHgJLlsB3/qi1uSRCSma9yGjoqmJY9kpzs40cpsUxEl2iv6DopBoSZUygoOj
l8F5vk+OKdIozCrvtYTKOl9QZgnhscbe8ObbOilDWF2DEZhmPF+e04VaTeWUxwBI+T98NrVW3bCc
lIv5f+BIzV1mk6RvBAq4IhowQ2Rkaa+I2M0jE/KL2pDWLB2pn3qTKTK2BfFGS9PlDHMNxNnT7sja
11cRXvFnhQQ5N+2STLmRyqFNlXpatWsM+5tKb3F6T3W2xtDfB2EEu2TS+KlVle4dva2XscaQWdrK
eCGNNblEgvNvvnjmJ4BqwwQdIEhqNE9OjQItYjRcSj6cDF0f2a+Nwg0jTeGLOBUf1vYNqv2TBoOA
uIPaQjQMnBbjvo2MTp8sFgVixRaD5allWkxzLN255JI+OWpVErdNwwDZ33A1Wxg0o52QbKGBsUNq
wLOTSsYb2QwZLfK8/fTdWEAG75VrY5uThgPxqlTeVCV/nr+DLLfMewtgPvKicjdYHnRwPK47Txju
0bdR1jaRWj+3BeWRkJrqRx2Z74QnTDqt1gYTblFMNobSOSHrsaoSFMk0qFYScwHT1OSKOVDfduGg
b4VaBWcZ5Ks+asWTGTBF0onf20z1QGhKhf+u62695LYd7kTUGUsyZKJVRY71WfHxjblOv3vMWOFZ
YhJL4l9DqzfYwXHc6mofXP5u3IKO9qC0v/4ewmS1LsOuPDoJ6NR5qpb3tDFFAgXVZzqzzJyw24Sz
l3d65M+PhoxOShThZeP06PMKpERbQ87r21tBRRrDtNG9qJTTXVWzn2unjndh51RLxcLH2zvIpwkA
P9kmdOFpjwwyAjw6zHZtdQKcN/78f4yd2XLbSJaGX6XC14MeILFPdPeFRHEnRVKiZPkGIdkq7PuO
p58vQVdVV09HxZQrEEiQpikKzDz5n3+pTUTZNlZz2yyuyJ7PlFeTeNyDh7To3uztgp90EAvoFEgW
UFru+paCCO269mz0roOzQEWMmeLcFex+7weCHO9u9YsN8I+b1q83ntXYa+FDrP0WA9uLwdl0er3W
ZXcpo/BfY26d42fPUDPpHJbAPmykipFdE4fx97PJmJj5W3UdNS4MI1v7SgVINg9RIdi26lG0iqBA
fx0TC5mFGnzUoCsw9JyF3rjtq2ZpLw3+eJ+Qse6HZCTHVMvgazv0xnT00QcwmuLVAXycAL+ulg2w
bppuiTxCWd1IPI0vzn7lr1Pu1kPSMPdIdl0pD96oW+SidKt56opNoS6ER1BOFFTQNyoEI44r4QEf
zTPNPbhf8BzpvRjHTo5CAi5PicDygfwtWjlyOD/gR+4deb/9QxATOza/DYdW9XIeahJFlo4eoKTR
Y1pJkwy5G8K5Kjmkjfg2j0zmVzbQ8Jcy4Oul4k/d4x9nSiRxdbJxF0Ud4RBY2B6aqelrDh548bvg
dWya6J7vXQkVjzOwZ5ZxeRbKa0o//Hw07PjRsr64PXe+Pj9jfm4W4lIdD/ZnDXSxNp0pftDcxHjV
IwMMMcFlts+t08xsiHoT8uf40uvY0mtEfy/nwqkkr3ap0o1IYmeSGVEY5UqA03PHx1Yh8NG2w3wz
P7Wp2xLQvI35ThFY6Iku2IVjEe9sgf1ForAbGtkAXLsmVxYpWuEjJh6seym+MoFaf5hhXb8OOhOw
5OuPnQwKL4x4Q4BoSCrw9OQ2GF6mXZCcgmrs9k6ZEeej2ulLlWtbBd6xqTblpTCi+oUWlZ24yjUJ
df/JAQ6Zr/odVrzO2F4tTVQvSR9Peygv3d1IFvh1Mo4+EMQynyQ72+rsi+YwgxIn53zg+XCtozC5
Yl6jrHB1UlbzcGii6/yExpWUKtO2yeThr88v1Jf9BMlemrF1zsfgoDfzncpfuk4AXVDTvL0yFNBS
yFt5D133NExh85wFeb0dGmiUBeal73ALMHDxg68uEsS1raC2JNOvfDED0KgIzlLTv+m422+ILaUt
LIdK3DwTpdJcsmZojy2Zkjhecj3w6hG3hjLdj+CrVy0FJIO6C/DqH0rZ/W0noWy2qG6piAu6XgK2
xqbNwnZdYUi2N6x0leSCzwYm3mKeHoeWerBSSEw0oBext2suY2JiMqSp8Y+OiBChNp98ttIJoGue
rXAgbSjIm/shUrGqasA3ktb1lu4W4idtldavmicMCdV9llKq3caKj+bBw0e8aIerUhZA+VT/JzUY
bXYaSrXPYk/Z8MOaa5IArMM4UYyVg7+ba4skr6KTD/Ayj1CQof5qOntHfim8EYr0XqBVsPKxutR2
pa25851VPzGDFewbV5Rj9qp2OmcjDCM7DjmeV0mvaC+ZPnxvceT4NSLShc375win5Q4PkiDpg2tv
dJDsSxYfwe95V9kDURlZQiJzzlo0Ga366b4NqjE9dHGp7KkCqGVbtTq3TMf7jPSsRaXr1XuqaZue
CJCXEAHaGhwVj2hcLqCk+mzuuS000oIlQSh0TGg5omARbZLgjeY8yVgc92oY0SozyRGrEYBAZoye
0THKUCoj+IEvK37rYU0aiX71TQBPs0RSgr3pcGc0dPhC+hoNfLEWn5gdnf0a7xGGQAHDwoPktiGp
q4G7QbBt6+HvhqhnWFuy1tJMMK7SgrYzlx3ztXJ8cVwcHYLcTJaa6kSXflCnjYH2lOhhmsjztaos
vxVhAs8vQw/f0UgJHnDf0Gh6McZnVFLaJGe/zYqvs6qoFU2wcXplrQQa2qcqlXQwIRNzKGJajNzy
+6ZIdmVpjUeCiBS6U265xbYHwV2bvhSdihN6VOpLGyf5Nx3ToLwuhsc8ciVpmeIsLh1jNTOC8YF7
wLbGu1qWzF6w6e76GNfndXZO7Vg5W6Vo91BLLpU0xZkPrVGhHU+844Dt1As30CGjOfyROWxZQz8p
kNka9i4wFaxIMjfdK+lI5Eufu3cCYpTMIlUvehDlqCzxzitj7UITWbvEMawjSL1o8NzyW/w0V6jU
z2RWH5LLVPjTUqSx/prpODF6saOSkNU0q2YI6H0g1RxXhEMGGjScwtmTUQwDKM2ITo5CyRhck45Y
7rmV6Ic0lVJvIWtfqUGgK47FeIwbaj5/cOy1gZbiFMUC60OfpbXPRbIlqz4/+oX+NehC767TY/tl
/gvwD+0XdmLeHS04504vBuMxkC5CfpR+18Gw7u1Obx6duAFjrYNlNfnWHpNm9YG+WXpvue61taPh
QLRz99woTxVuldeIym+bh1m3T3zjrBdOtePtoIDBI6lbVLAqFukc3U1n9J5qtD+X4j3VPfyuBl/Z
zvWPgVlHY8JMDgULUkz+2cJOAgP/DWcleh1uqK3WK833LmFFdS4ckhKjHMLQ1Mksbr3HghKG40Ib
wvKtLTBS8DqRPiZyJfVj7VCk0CzOZZhI/knS9ai54FaaffEeh5a+N2vyPghiDNZdb+G6mdvXmFp6
ndekks1nIRgIaga7XHWo2lYBqpdvEFrytr93JyPAfVP9+VCrMFtUEPyoEuf5DcO8GKcvvT11uR9s
FaEJ7MLG+BlHuCDemtklFdP4mChJBqtiwLZ5Ur/Z8IkPBhTJ9eSaF4Iz07UDf/gOGo12za3y0y/j
9tMUdKjMWv+YMtqXBLMX5xh/xrVNNVITqbXiO12c1RzGtUr69g8xLfJct34MCrQ24Y8OBFv46DEO
Wzl+zA8q9qXv1ScmUcU7kYL+Ukx9vxGttF7uvGwb6vhi2kWavbcGLsqyIZBHxhI25jeazOMlNTqi
1rCjIQzGHb8GsCTzuleehQmZ0hqnF/i19T6qNYj3EkIoKmpnlqr24OKURpqXyV7QhnNpIxtchj12
xvdEzlwdrV+Ds6lHVbjOoRixbECAFH6UCezVXD03otWfsrINH5D7GetWtqZE1xwNJq+L4cAET1Pr
zLIZ3CN9zLfz7j1RwCoRk8UGBW+noyeKzT5GFgKQKdVZKRQMVAB4YWWETWOOO70ofu+TMVipL5kP
s1DJ3/nM4QpbE+kkOizwTkNjXbhmdNFMiWqJszUlTKt65W2TAaCgDCkkMweINRH34OLSt9BKvrKP
83exV7y4amLuIQZQD8s+YVYTtBxBpiBFxL+WoGyHyiPJGtOHhaHa+xkRcHE8A2ysjsVQNZdiYlqz
JtEvqNap6QeX2Rf0AfsIcwTMKSZ1naUeVNdBc+VS6t0+r4qvugIZ8OL6VnHWCv0pV1z1HPXxxRI1
sy+hEcuwDVEyJPanOqT+qXIy8+J53gEd5Jufyqq4RMTF9uMtLoEF4tjUTy19/rtSQCZJoRah5GPb
WYSkleDI6+KtKzel+Eigys6UXZ2c277SH5vWgXvEb/UKpQ6be8cwPtrEBq6ssm8zUoht5VkLarI3
SHl69CpPX3VhGuzSBNp1Pyb1qvXG4GQIDPeHjmSiEhO1pYiG9Jm6AmDSRwM5D4HUeKs6rjEWRn7z
Tk7oPPePoSqHRlWnuOwY7qqdGgWjeY+oWER+D/PNFIISA6+62GE12ub2oWuCem/KR2U1C3XqCd2a
T+TjrN2pWEsKP8eFXqZ6FTLHxe5UoqMVs0VZIi+qqOJpJRRkSMqhUKzoEWj4UOmF9xMpwsWTbHWx
nbdiRtHH+5oEt4KwhJNSRlc+WOWF9Bux7Txy8UoTXZHfkjjpJN0HaBcykUmtnpqiVo/NlOwNqtDi
vhNkktWWmm2Bgasnn1pqKyrcIVWS5QXM6WMJTmDjOBWmeK3H4/o2JiMMYgxRVfeFSaxP1EJHF5h5
GMsqw28HkxJ967HIGqivoHIUyYOSK8aTKBzl6BOi5WIqOm8Ab4dYYStop2+WYsvGFhvDef/o5IO3
TF2UjtOAjwKhS8kyRBYWtg1eY63r2jCuAPdim0BZPQydNxqDazsMceGXLEJh8612OxvhY/cQZHTx
mUFBDmyiQOuktjZBolaLeQrxc1CGJAiLXS1nFK1TmX+j7ALFE6zXK+E0RVa7dozaW8xg/WDTVOtJ
ot50rj2c7Eb/kQfjfWvV5isdW2cdweBe3pAQVo6gDJydV08ZjAU4xWQAGeuZ8h6mzyO39AJHFvOl
NEgLySxX28zDmk4MNn4S2RGh9VIF5kOltrvCHMKtRpl+EEyKAyTUh6JiPQgbgqiMkKnC4QaHSasY
OfKMKku2M/7ljrBXcAvdzSNNomEO/sYLD5UqZorGdi5/5gOmttuuKKrjPCI4rtlO7IqwoU8aVk9K
pUjTc4BaVX3MU28gE74qN2WtKZuq0p8MVTY8JX2vz2q+XY73Gnt1ClGgxKBK9mbKSMHxmf7w2cJl
bUtnAt2ZHM4H6FkGcYAYxhkjgcGuoM83f5WSejxE5H8fb1+z3uVftqzs9uD8jJaGvk1v5DiP/JjN
xdiSqBBO9GRVkSGtGwJiN3o2RRW9yfYBit3OG2hTiPLnzTffgTkyJ/qxUwYD4zf0gixchCQEd8Qq
Ijczzdz7oHH8S0K2yN4uMJ+EoHuZL/ld3a5oT/Grl8+YHzCUTIXhNOWr+dp8gB1xMhDO4nJbJJh/
isZdp5jhDaWgg4k52WJCm6kTpZZ6RzLBsh2331ZBOMWWzSE+pCNtpqfBc8VoHKEc5m7XTEWKMjfQ
utE4zFi3ZJiJMap2Jn7CKAbLd9MVmNtKCQnsq2QRVpG37Yagfc1YP9qSvIQwcy4z8T/N+p1X0Tzg
q9Q9u5VJGanrzQOeik92h+EwNS+UQNxpctxmYF5jz7xNPWtal1YFZR4YG7dKeYi69udZjWnaBkN+
hJPeqvJED12clXgWS7tEdmwns38J67RcO6SL3JV5Pxxu3VMplp/PRJleVJ8ulUlBeLsUJoTMTmzW
HhqjFEf5rnDF9U7Z7ERkNt5JLbqHRrjhcb4+HxRFC9mBUsEWmochSEgLQtVCF3BfvARxrmxoVKof
Sj50K8LToRlGQ/I2nxFXkd7ObtcEMy9AzZ2aVfXZDEG5a4q9Jcqt8CtS5E2pa9WaFo8K17FbKWPW
vk2h60kq9LjPRNUddNtpF7FRqwszLmEueNM3PUNhMU/oXQQHBu9u9nTJOSygcPb2NtU8Z9u3pn5o
5WE+Q8STHqxidRsMkXHAHoggohCKm5jVs6FRuIRxoLKc0bxqjL/ZVZ8fTCdvVnhzdw+kAdKemTRz
AfBX0K/X1ZfRcu07L2/MXTQ4yj4tKg1ogRCJMWlfpqjXN3pYM0NIUCnITPAdHZZ9DtDvwUpcdxbd
raAOPFQEH1XnAOQjoUFP47sbI3xkYi5eTQjvLt2Tm0zfSqzzNCX+pa/aJXF42q6nVCuXYmRVqNV3
dgJEhbhskGLcA+60xoY8LA8GG+jdPMTMlLtssPG8kP3aIYu/+ZERL123hLUukIdiO0tosXxxlW7h
ru3aftPR4fnjku4SyjhvhNXSQmAnyz5o5vqmD0EE58JvvtbHDhmpGFdAxiFvDMFQ6+f6Jg2L6Ngl
RKaCHKkY+1nG1jMRyw+kad/dGnTzmIkLpFblV5UFgbnWXH3am7YfAebS07AT1px07OutkSf90cQp
u3qovSa+903Yh2XTn/AASw4QnU/OmOgHozPu/6XApcsYLadTNZC0FoQuHiqyBzUDvPNZ5ugjMglY
N0IeRpKrF6bqSu5XIdk/aemzifFC+wkNrbg6tlQnmu6Tman6dSp+jnLZUjLUbthb+Q86Vzgv2LZ/
1Pwpw5iIIVXKYzpq9kWVW7g0N3eoAbwnPS/9bZxBLMw8aRhZRs4KXkp1H1e9ePCSCQlJJ2QAmhqa
Sy1REFJYuUahl6JJM1rr59ihblmahdnda23snJyUDV+qeO1iANM8zdfw++w3KlAKsWDyWu4P1PSY
R6pRDmedJZOP9GJMJZJmQ/XXseL+POt75dOhQbGmG1QvgATdt4BmtJYRYEDh0D36UbEreiN/H1Pb
Yb0Mp6fQmfCHGdtuqUCVBYfo1EcIr1AFSgF71cDvOXGtU5zGsDHhehOiZEUmoUElrOw2WkIfxN+m
K0hDgl6yc+VhHs6HKaxxx5+8E6a2/d5tvA5fac5IzcS5qdCHnZchV+VyoA79XvFsSCWzd4ZCCEZc
E6StlnD6c68mE+X3QxPryiHEGG3f0G0iTBK3SGl/lxUDxvPQmTH81ha3mdcK8v0E1nYruJAGscaq
yMTmkqshP3c9SkIh9b12D4PM2s4UmlKjINDYzRkE+51r8unmy3GXsVtjl+G24/tYsi9R7Fw7F9xf
97njICI0B/U8P2BJpzyjbOzNH9cGazoZjt+CVBLkBsFI3OeDXT3qONPdhZHmbWFA1PdxTqQi+XL6
a+DRYY7T/pnFqDlZKWm28nJFGjIqHxThEKuXOqvpKw68G4FFwEdjAhiNuuOfqKFs6D6ZvYD9E3/U
NewhltAgggE14AvjSHMRh93tqsxbZ1tZcpp3JEBJ+uuTopfMptbovBuNT6QuqjCLZqWTEo0U9APN
bdOg9RwTHD6UbAF9AxW4XsYnzZaNID1TsOGhsq9RwP7I4+egacQnDUY4nmlQwQ4urAerAYTGOafY
l2zRHkj46q90N6WG0BWfU/eGeYr/Q2gOspWi/uql7LoTOpnInOLprBNa/BAYbGcHuisrvkXu3pss
sW5wYtzSnR22mLMoa8JEB0jKVrmKPIIe2Io5ND+G5Gx37O6CepSrmXame43BZ1Crb5Uu6GrHzacb
kZ2JRU5wZ2AUD59OfKZJ+UIcgPOmhh6IGJ3g59BpxCLz3OAEegZLguJ1b+Ogt0VwLdZ2d8hyxdsp
EZTAcSyM/XxGGa7vfUKDVvPZH9fCP1/zY9PaAmaSgztkmw4Ea21G1nAcB5s4m0lLrwEdbsgAXvwd
83UaJQMukBPmMn48aB9seoc7oQz5Y6lbjxF6vAWcsu5Rj2iI6zZqFr407ha83F9jL+KQIY1J/Bi4
wWOJ4Hg0UcQ7dTNsgbowGLapU3vILdz/KmohlEZN4foXteTWxZ0hvfX92PX0Sqicv/zy3//8+/fh
f/zP/JQnI7vMX7I2PYHRNfU/vpj6l1+K2+XND4YmPpLIhB3bMA1BEIph8Pj390uI+/M/vmj/ZWKQ
XFkdOizDbrAFUJLhjIMn0QXEjH/TLePgAs3/KgT5QK2ov1sOQRuu6RfPZs/mxCkInwrKvlmkXcYw
tLPnrgpwIjLT+jtNgUU7lMkiaP3iYNGAJsyqBeVIVPsxVyZpxt3U73WJdLPOSxZYAzEUiFR/r8sN
Ho49zXueC9xUfe8TWuJpCKOI1rBfTxDPsNl20M/fJOQR9D242r8NMajXdwMUndujpl0j3pwVy2ne
40MvGVozTasLseyHaXc3f67//acPtp4/6O/En8AWB6r48/Cfz3nK/3+Xf+f35/zbUw4hgWl1/mvz
l89afebH9/Sz/vcn/emV+dd/vrvFe/P+pwFht2EzntvParx81m3S/PWjt5+D+0e+0HzjPOf/5yX+
X0/67Ub8zy/0y+f8vp7H4vMfX1A7Z418f36YZ19+PiRvUc2y/uWW/v2V5p/mr14heeeHbn/w0kL/
m6vrpsuM5s7/OV9+SfKMDIX5YUVTxd8oaiz5519/y7//W//hx//TJ/gXn9H8K0o+36t//i8AAAD/
/w==</cx:binary>
              </cx:geoCache>
            </cx:geography>
          </cx:layoutPr>
          <cx:valueColors>
            <cx:maxColor>
              <a:srgbClr val="00206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2.xml"/><Relationship Id="rId7" Type="http://schemas.openxmlformats.org/officeDocument/2006/relationships/image" Target="../media/image5.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7620</xdr:colOff>
      <xdr:row>2</xdr:row>
      <xdr:rowOff>167640</xdr:rowOff>
    </xdr:from>
    <xdr:to>
      <xdr:col>7</xdr:col>
      <xdr:colOff>0</xdr:colOff>
      <xdr:row>13</xdr:row>
      <xdr:rowOff>160020</xdr:rowOff>
    </xdr:to>
    <xdr:graphicFrame macro="">
      <xdr:nvGraphicFramePr>
        <xdr:cNvPr id="3" name="Gráfico 2">
          <a:extLst>
            <a:ext uri="{FF2B5EF4-FFF2-40B4-BE49-F238E27FC236}">
              <a16:creationId xmlns:a16="http://schemas.microsoft.com/office/drawing/2014/main" id="{4ACBA97C-04D9-4102-AB52-A05966963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17</xdr:col>
      <xdr:colOff>30480</xdr:colOff>
      <xdr:row>9</xdr:row>
      <xdr:rowOff>167640</xdr:rowOff>
    </xdr:from>
    <xdr:to>
      <xdr:col>22</xdr:col>
      <xdr:colOff>739140</xdr:colOff>
      <xdr:row>22</xdr:row>
      <xdr:rowOff>73660</xdr:rowOff>
    </xdr:to>
    <mc:AlternateContent xmlns:mc="http://schemas.openxmlformats.org/markup-compatibility/2006">
      <mc:Choice xmlns:cx4="http://schemas.microsoft.com/office/drawing/2016/5/10/chartex" Requires="cx4">
        <xdr:graphicFrame macro="">
          <xdr:nvGraphicFramePr>
            <xdr:cNvPr id="7" name="Gráfico 6">
              <a:extLst>
                <a:ext uri="{FF2B5EF4-FFF2-40B4-BE49-F238E27FC236}">
                  <a16:creationId xmlns:a16="http://schemas.microsoft.com/office/drawing/2014/main" id="{1243652A-F20A-4455-B6E9-A5C2D0DA3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593705" y="2425065"/>
              <a:ext cx="4937760" cy="2668270"/>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editAs="absolute">
    <xdr:from>
      <xdr:col>16</xdr:col>
      <xdr:colOff>251460</xdr:colOff>
      <xdr:row>17</xdr:row>
      <xdr:rowOff>152400</xdr:rowOff>
    </xdr:from>
    <xdr:to>
      <xdr:col>22</xdr:col>
      <xdr:colOff>541020</xdr:colOff>
      <xdr:row>30</xdr:row>
      <xdr:rowOff>160020</xdr:rowOff>
    </xdr:to>
    <xdr:graphicFrame macro="">
      <xdr:nvGraphicFramePr>
        <xdr:cNvPr id="8" name="Gráfico 7">
          <a:extLst>
            <a:ext uri="{FF2B5EF4-FFF2-40B4-BE49-F238E27FC236}">
              <a16:creationId xmlns:a16="http://schemas.microsoft.com/office/drawing/2014/main" id="{14B9C7AD-2930-F71A-B938-07D0DD299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17</xdr:row>
      <xdr:rowOff>15240</xdr:rowOff>
    </xdr:from>
    <xdr:to>
      <xdr:col>7</xdr:col>
      <xdr:colOff>0</xdr:colOff>
      <xdr:row>29</xdr:row>
      <xdr:rowOff>152400</xdr:rowOff>
    </xdr:to>
    <xdr:graphicFrame macro="">
      <xdr:nvGraphicFramePr>
        <xdr:cNvPr id="11" name="Gráfico 10">
          <a:extLst>
            <a:ext uri="{FF2B5EF4-FFF2-40B4-BE49-F238E27FC236}">
              <a16:creationId xmlns:a16="http://schemas.microsoft.com/office/drawing/2014/main" id="{C5EE6E3D-6BBF-4738-B4B9-0CA98CB8B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1</xdr:row>
      <xdr:rowOff>241799</xdr:rowOff>
    </xdr:from>
    <xdr:to>
      <xdr:col>1</xdr:col>
      <xdr:colOff>249407</xdr:colOff>
      <xdr:row>4</xdr:row>
      <xdr:rowOff>0</xdr:rowOff>
    </xdr:to>
    <xdr:pic>
      <xdr:nvPicPr>
        <xdr:cNvPr id="13" name="Gráfico 1" descr="Monedas contorno">
          <a:extLst>
            <a:ext uri="{FF2B5EF4-FFF2-40B4-BE49-F238E27FC236}">
              <a16:creationId xmlns:a16="http://schemas.microsoft.com/office/drawing/2014/main" id="{269486BB-CB87-66DE-B89C-6FA066952A1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620" y="683759"/>
          <a:ext cx="508487" cy="489721"/>
        </a:xfrm>
        <a:prstGeom prst="rect">
          <a:avLst/>
        </a:prstGeom>
      </xdr:spPr>
    </xdr:pic>
    <xdr:clientData/>
  </xdr:twoCellAnchor>
  <xdr:twoCellAnchor editAs="oneCell">
    <xdr:from>
      <xdr:col>0</xdr:col>
      <xdr:colOff>22860</xdr:colOff>
      <xdr:row>15</xdr:row>
      <xdr:rowOff>78740</xdr:rowOff>
    </xdr:from>
    <xdr:to>
      <xdr:col>1</xdr:col>
      <xdr:colOff>314960</xdr:colOff>
      <xdr:row>17</xdr:row>
      <xdr:rowOff>182880</xdr:rowOff>
    </xdr:to>
    <xdr:pic>
      <xdr:nvPicPr>
        <xdr:cNvPr id="18" name="Gráfico 17" descr="Dinero contorno">
          <a:extLst>
            <a:ext uri="{FF2B5EF4-FFF2-40B4-BE49-F238E27FC236}">
              <a16:creationId xmlns:a16="http://schemas.microsoft.com/office/drawing/2014/main" id="{3E15423A-0FD4-44F0-A477-F98C394711C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860" y="3766820"/>
          <a:ext cx="558800" cy="561340"/>
        </a:xfrm>
        <a:prstGeom prst="rect">
          <a:avLst/>
        </a:prstGeom>
      </xdr:spPr>
    </xdr:pic>
    <xdr:clientData/>
  </xdr:twoCellAnchor>
  <xdr:twoCellAnchor editAs="absolute">
    <xdr:from>
      <xdr:col>2</xdr:col>
      <xdr:colOff>0</xdr:colOff>
      <xdr:row>0</xdr:row>
      <xdr:rowOff>0</xdr:rowOff>
    </xdr:from>
    <xdr:to>
      <xdr:col>12</xdr:col>
      <xdr:colOff>281940</xdr:colOff>
      <xdr:row>1</xdr:row>
      <xdr:rowOff>22859</xdr:rowOff>
    </xdr:to>
    <mc:AlternateContent xmlns:mc="http://schemas.openxmlformats.org/markup-compatibility/2006" xmlns:a14="http://schemas.microsoft.com/office/drawing/2010/main">
      <mc:Choice Requires="a14">
        <xdr:graphicFrame macro="">
          <xdr:nvGraphicFramePr>
            <xdr:cNvPr id="21" name="C de PROCESO">
              <a:extLst>
                <a:ext uri="{FF2B5EF4-FFF2-40B4-BE49-F238E27FC236}">
                  <a16:creationId xmlns:a16="http://schemas.microsoft.com/office/drawing/2014/main" id="{937C76CC-211C-42D3-8BA5-5A0DF9804214}"/>
                </a:ext>
              </a:extLst>
            </xdr:cNvPr>
            <xdr:cNvGraphicFramePr/>
          </xdr:nvGraphicFramePr>
          <xdr:xfrm>
            <a:off x="0" y="0"/>
            <a:ext cx="0" cy="0"/>
          </xdr:xfrm>
          <a:graphic>
            <a:graphicData uri="http://schemas.microsoft.com/office/drawing/2010/slicer">
              <sle:slicer xmlns:sle="http://schemas.microsoft.com/office/drawing/2010/slicer" name="C de PROCESO"/>
            </a:graphicData>
          </a:graphic>
        </xdr:graphicFrame>
      </mc:Choice>
      <mc:Fallback xmlns="">
        <xdr:sp macro="" textlink="">
          <xdr:nvSpPr>
            <xdr:cNvPr id="0" name=""/>
            <xdr:cNvSpPr>
              <a:spLocks noTextEdit="1"/>
            </xdr:cNvSpPr>
          </xdr:nvSpPr>
          <xdr:spPr>
            <a:xfrm>
              <a:off x="1059180" y="0"/>
              <a:ext cx="6964680" cy="46481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absolute">
    <xdr:from>
      <xdr:col>7</xdr:col>
      <xdr:colOff>0</xdr:colOff>
      <xdr:row>1</xdr:row>
      <xdr:rowOff>22860</xdr:rowOff>
    </xdr:from>
    <xdr:to>
      <xdr:col>22</xdr:col>
      <xdr:colOff>426720</xdr:colOff>
      <xdr:row>19</xdr:row>
      <xdr:rowOff>0</xdr:rowOff>
    </xdr:to>
    <xdr:graphicFrame macro="">
      <xdr:nvGraphicFramePr>
        <xdr:cNvPr id="2" name="Gráfico 1">
          <a:extLst>
            <a:ext uri="{FF2B5EF4-FFF2-40B4-BE49-F238E27FC236}">
              <a16:creationId xmlns:a16="http://schemas.microsoft.com/office/drawing/2014/main" id="{77585347-E43F-16B2-D783-9CC55042D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16</xdr:col>
      <xdr:colOff>137160</xdr:colOff>
      <xdr:row>0</xdr:row>
      <xdr:rowOff>0</xdr:rowOff>
    </xdr:from>
    <xdr:to>
      <xdr:col>21</xdr:col>
      <xdr:colOff>91440</xdr:colOff>
      <xdr:row>1</xdr:row>
      <xdr:rowOff>22859</xdr:rowOff>
    </xdr:to>
    <mc:AlternateContent xmlns:mc="http://schemas.openxmlformats.org/markup-compatibility/2006" xmlns:a14="http://schemas.microsoft.com/office/drawing/2010/main">
      <mc:Choice Requires="a14">
        <xdr:graphicFrame macro="">
          <xdr:nvGraphicFramePr>
            <xdr:cNvPr id="22" name="TIPO DE VENTA">
              <a:extLst>
                <a:ext uri="{FF2B5EF4-FFF2-40B4-BE49-F238E27FC236}">
                  <a16:creationId xmlns:a16="http://schemas.microsoft.com/office/drawing/2014/main" id="{38D361B8-C8A5-448C-98D2-4BB117DD53E7}"/>
                </a:ext>
              </a:extLst>
            </xdr:cNvPr>
            <xdr:cNvGraphicFramePr/>
          </xdr:nvGraphicFramePr>
          <xdr:xfrm>
            <a:off x="0" y="0"/>
            <a:ext cx="0" cy="0"/>
          </xdr:xfrm>
          <a:graphic>
            <a:graphicData uri="http://schemas.microsoft.com/office/drawing/2010/slicer">
              <sle:slicer xmlns:sle="http://schemas.microsoft.com/office/drawing/2010/slicer" name="TIPO DE VENTA"/>
            </a:graphicData>
          </a:graphic>
        </xdr:graphicFrame>
      </mc:Choice>
      <mc:Fallback xmlns="">
        <xdr:sp macro="" textlink="">
          <xdr:nvSpPr>
            <xdr:cNvPr id="0" name=""/>
            <xdr:cNvSpPr>
              <a:spLocks noTextEdit="1"/>
            </xdr:cNvSpPr>
          </xdr:nvSpPr>
          <xdr:spPr>
            <a:xfrm>
              <a:off x="9326880" y="0"/>
              <a:ext cx="3642360" cy="46481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absolute">
    <xdr:from>
      <xdr:col>18</xdr:col>
      <xdr:colOff>248236</xdr:colOff>
      <xdr:row>28</xdr:row>
      <xdr:rowOff>0</xdr:rowOff>
    </xdr:from>
    <xdr:to>
      <xdr:col>20</xdr:col>
      <xdr:colOff>530176</xdr:colOff>
      <xdr:row>31</xdr:row>
      <xdr:rowOff>13677</xdr:rowOff>
    </xdr:to>
    <xdr:sp macro="" textlink="Tablas!P13">
      <xdr:nvSpPr>
        <xdr:cNvPr id="4" name="CuadroTexto 3">
          <a:extLst>
            <a:ext uri="{FF2B5EF4-FFF2-40B4-BE49-F238E27FC236}">
              <a16:creationId xmlns:a16="http://schemas.microsoft.com/office/drawing/2014/main" id="{BB8CDC9B-F8AE-1BAA-40FE-83098019CA66}"/>
            </a:ext>
          </a:extLst>
        </xdr:cNvPr>
        <xdr:cNvSpPr txBox="1"/>
      </xdr:nvSpPr>
      <xdr:spPr>
        <a:xfrm>
          <a:off x="11898044" y="6227885"/>
          <a:ext cx="1771747" cy="624254"/>
        </a:xfrm>
        <a:prstGeom prst="rect">
          <a:avLst/>
        </a:prstGeom>
        <a:solidFill>
          <a:schemeClr val="accent1">
            <a:lumMod val="60000"/>
            <a:lumOff val="40000"/>
            <a:alpha val="35000"/>
          </a:schemeClr>
        </a:solidFill>
        <a:ln w="9525" cmpd="sng">
          <a:noFill/>
        </a:ln>
        <a:effectLst>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7D6179-F757-4438-A04E-AF753408BF12}" type="TxLink">
            <a:rPr lang="en-US" sz="5400" b="1" i="0" u="none" strike="noStrike" cap="none" spc="0">
              <a:ln w="22225">
                <a:solidFill>
                  <a:schemeClr val="accent2"/>
                </a:solidFill>
                <a:prstDash val="solid"/>
              </a:ln>
              <a:solidFill>
                <a:schemeClr val="accent2">
                  <a:lumMod val="40000"/>
                  <a:lumOff val="60000"/>
                </a:schemeClr>
              </a:solidFill>
              <a:effectLst/>
              <a:latin typeface="Calibri"/>
              <a:cs typeface="Calibri"/>
            </a:rPr>
            <a:pPr algn="ctr"/>
            <a:t>-18%</a:t>
          </a:fld>
          <a:endParaRPr lang="es-MX" sz="54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0.33056</cdr:x>
      <cdr:y>0.16405</cdr:y>
    </cdr:from>
    <cdr:to>
      <cdr:x>0.62019</cdr:x>
      <cdr:y>0.4434</cdr:y>
    </cdr:to>
    <cdr:sp macro="" textlink="Tablas!$C$5">
      <cdr:nvSpPr>
        <cdr:cNvPr id="3" name="CuadroTexto 2">
          <a:extLst xmlns:a="http://schemas.openxmlformats.org/drawingml/2006/main">
            <a:ext uri="{FF2B5EF4-FFF2-40B4-BE49-F238E27FC236}">
              <a16:creationId xmlns:a16="http://schemas.microsoft.com/office/drawing/2014/main" id="{B640303A-D333-F8EE-ED51-2DE88420E033}"/>
            </a:ext>
          </a:extLst>
        </cdr:cNvPr>
        <cdr:cNvSpPr txBox="1"/>
      </cdr:nvSpPr>
      <cdr:spPr>
        <a:xfrm xmlns:a="http://schemas.openxmlformats.org/drawingml/2006/main">
          <a:off x="1571756" y="397513"/>
          <a:ext cx="1377183" cy="67690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B506DE8-E914-4E4F-9B84-8F865519ACA3}" type="TxLink">
            <a:rPr lang="en-US" sz="4800" b="1" i="0" u="none" strike="noStrike" cap="none" spc="50">
              <a:ln w="9525" cmpd="sng">
                <a:solidFill>
                  <a:sysClr val="windowText" lastClr="000000"/>
                </a:solidFill>
                <a:prstDash val="solid"/>
              </a:ln>
              <a:solidFill>
                <a:srgbClr val="70AD47">
                  <a:tint val="1000"/>
                </a:srgbClr>
              </a:solidFill>
              <a:effectLst>
                <a:glow rad="38100">
                  <a:schemeClr val="accent1">
                    <a:alpha val="40000"/>
                  </a:schemeClr>
                </a:glow>
              </a:effectLst>
              <a:latin typeface="Calibri"/>
              <a:cs typeface="Calibri"/>
            </a:rPr>
            <a:pPr algn="ctr"/>
            <a:t> </a:t>
          </a:fld>
          <a:endParaRPr lang="es-MX" sz="41300" b="1" cap="none" spc="50">
            <a:ln w="9525" cmpd="sng">
              <a:solidFill>
                <a:sysClr val="windowText" lastClr="000000"/>
              </a:solidFill>
              <a:prstDash val="solid"/>
            </a:ln>
            <a:solidFill>
              <a:srgbClr val="70AD47">
                <a:tint val="1000"/>
              </a:srgbClr>
            </a:solidFill>
            <a:effectLst>
              <a:glow rad="38100">
                <a:schemeClr val="accent1">
                  <a:alpha val="40000"/>
                </a:schemeClr>
              </a:glow>
            </a:effectLst>
          </a:endParaRPr>
        </a:p>
      </cdr:txBody>
    </cdr:sp>
  </cdr:relSizeAnchor>
  <cdr:relSizeAnchor xmlns:cdr="http://schemas.openxmlformats.org/drawingml/2006/chartDrawing">
    <cdr:from>
      <cdr:x>0.13622</cdr:x>
      <cdr:y>0.1478</cdr:y>
    </cdr:from>
    <cdr:to>
      <cdr:x>0.85256</cdr:x>
      <cdr:y>0.48428</cdr:y>
    </cdr:to>
    <cdr:sp macro="" textlink="Tablas!$C$3">
      <cdr:nvSpPr>
        <cdr:cNvPr id="2" name="CuadroTexto 1">
          <a:extLst xmlns:a="http://schemas.openxmlformats.org/drawingml/2006/main">
            <a:ext uri="{FF2B5EF4-FFF2-40B4-BE49-F238E27FC236}">
              <a16:creationId xmlns:a16="http://schemas.microsoft.com/office/drawing/2014/main" id="{048E2311-72F7-3F75-2006-F726B2F474FE}"/>
            </a:ext>
          </a:extLst>
        </cdr:cNvPr>
        <cdr:cNvSpPr txBox="1"/>
      </cdr:nvSpPr>
      <cdr:spPr>
        <a:xfrm xmlns:a="http://schemas.openxmlformats.org/drawingml/2006/main">
          <a:off x="647700" y="358140"/>
          <a:ext cx="3406140" cy="8153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5580F27-E574-417C-859C-C56C88B55792}" type="TxLink">
            <a:rPr lang="en-US" sz="4800" b="1" i="0" u="none" strike="noStrike" cap="none" spc="0">
              <a:ln w="22225">
                <a:solidFill>
                  <a:schemeClr val="accent2"/>
                </a:solidFill>
                <a:prstDash val="solid"/>
              </a:ln>
              <a:solidFill>
                <a:schemeClr val="accent2">
                  <a:lumMod val="40000"/>
                  <a:lumOff val="60000"/>
                </a:schemeClr>
              </a:solidFill>
              <a:effectLst/>
              <a:latin typeface="Calibri"/>
              <a:cs typeface="Calibri"/>
            </a:rPr>
            <a:pPr algn="ctr"/>
            <a:t>22.0%</a:t>
          </a:fld>
          <a:endParaRPr lang="es-MX" sz="4800" b="1" cap="none" spc="0">
            <a:ln w="22225">
              <a:solidFill>
                <a:schemeClr val="accent2"/>
              </a:solidFill>
              <a:prstDash val="solid"/>
            </a:ln>
            <a:solidFill>
              <a:schemeClr val="accent2">
                <a:lumMod val="40000"/>
                <a:lumOff val="60000"/>
              </a:schemeClr>
            </a:solidFill>
            <a:effectLst/>
          </a:endParaRPr>
        </a:p>
      </cdr:txBody>
    </cdr:sp>
  </cdr:relSizeAnchor>
  <cdr:relSizeAnchor xmlns:cdr="http://schemas.openxmlformats.org/drawingml/2006/chartDrawing">
    <cdr:from>
      <cdr:x>0.11645</cdr:x>
      <cdr:y>0</cdr:y>
    </cdr:from>
    <cdr:to>
      <cdr:x>0.43349</cdr:x>
      <cdr:y>0.12945</cdr:y>
    </cdr:to>
    <cdr:sp macro="" textlink="">
      <cdr:nvSpPr>
        <cdr:cNvPr id="6" name="CuadroTexto 8">
          <a:extLst xmlns:a="http://schemas.openxmlformats.org/drawingml/2006/main">
            <a:ext uri="{FF2B5EF4-FFF2-40B4-BE49-F238E27FC236}">
              <a16:creationId xmlns:a16="http://schemas.microsoft.com/office/drawing/2014/main" id="{38245E0B-960B-4443-EA86-8A9B03D0255D}"/>
            </a:ext>
          </a:extLst>
        </cdr:cNvPr>
        <cdr:cNvSpPr txBox="1"/>
      </cdr:nvSpPr>
      <cdr:spPr>
        <a:xfrm xmlns:a="http://schemas.openxmlformats.org/drawingml/2006/main">
          <a:off x="553720" y="0"/>
          <a:ext cx="1507490" cy="31369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8BDAA6FA-D24E-42D2-84D7-E1D602C67806}" type="TxLink">
            <a:rPr lang="en-US" sz="1600" b="0" i="1" u="none" strike="noStrike" cap="none" spc="0">
              <a:ln w="0"/>
              <a:solidFill>
                <a:schemeClr val="accent1">
                  <a:lumMod val="50000"/>
                </a:schemeClr>
              </a:solidFill>
              <a:effectLst>
                <a:outerShdw blurRad="38100" dist="19050" dir="2700000" algn="tl" rotWithShape="0">
                  <a:schemeClr val="dk1">
                    <a:alpha val="40000"/>
                  </a:schemeClr>
                </a:outerShdw>
              </a:effectLst>
              <a:latin typeface="Calibri"/>
              <a:cs typeface="Calibri"/>
            </a:rPr>
            <a:pPr algn="l"/>
            <a:t>RENTABILIDAD</a:t>
          </a:fld>
          <a:endParaRPr lang="es-MX" sz="2400" b="0" i="1" cap="none" spc="0">
            <a:ln w="0"/>
            <a:solidFill>
              <a:schemeClr val="accent1">
                <a:lumMod val="50000"/>
              </a:schemeClr>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0.10543</cdr:x>
      <cdr:y>0.20951</cdr:y>
    </cdr:to>
    <cdr:pic>
      <cdr:nvPicPr>
        <cdr:cNvPr id="3" name="Gráfico 2" descr="Gráfico de barras con tendencia alcista con relleno sólido">
          <a:extLst xmlns:a="http://schemas.openxmlformats.org/drawingml/2006/main">
            <a:ext uri="{FF2B5EF4-FFF2-40B4-BE49-F238E27FC236}">
              <a16:creationId xmlns:a16="http://schemas.microsoft.com/office/drawing/2014/main" id="{D9DD409F-9F7B-0E49-0883-5A84871CDE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542938" cy="543986"/>
        </a:xfrm>
        <a:prstGeom xmlns:a="http://schemas.openxmlformats.org/drawingml/2006/main" prst="rect">
          <a:avLst/>
        </a:prstGeom>
      </cdr:spPr>
    </cdr:pic>
  </cdr:relSizeAnchor>
</c:userShapes>
</file>

<file path=xl/drawings/drawing4.xml><?xml version="1.0" encoding="utf-8"?>
<c:userShapes xmlns:c="http://schemas.openxmlformats.org/drawingml/2006/chart">
  <cdr:absSizeAnchor xmlns:cdr="http://schemas.openxmlformats.org/drawingml/2006/chartDrawing">
    <cdr:from>
      <cdr:x>0.1859</cdr:x>
      <cdr:y>0.31146</cdr:y>
    </cdr:from>
    <cdr:ext cx="2773678" cy="655885"/>
    <cdr:sp macro="" textlink="Tablas!$C$2">
      <cdr:nvSpPr>
        <cdr:cNvPr id="3" name="CuadroTexto 2">
          <a:extLst xmlns:a="http://schemas.openxmlformats.org/drawingml/2006/main">
            <a:ext uri="{FF2B5EF4-FFF2-40B4-BE49-F238E27FC236}">
              <a16:creationId xmlns:a16="http://schemas.microsoft.com/office/drawing/2014/main" id="{5F0AE900-2A57-AC12-1046-E2D52BA52F5B}"/>
            </a:ext>
          </a:extLst>
        </cdr:cNvPr>
        <cdr:cNvSpPr txBox="1"/>
      </cdr:nvSpPr>
      <cdr:spPr>
        <a:xfrm xmlns:a="http://schemas.openxmlformats.org/drawingml/2006/main">
          <a:off x="883920" y="799817"/>
          <a:ext cx="2773678" cy="655885"/>
        </a:xfrm>
        <a:prstGeom xmlns:a="http://schemas.openxmlformats.org/drawingml/2006/main" prst="rect">
          <a:avLst/>
        </a:prstGeom>
      </cdr:spPr>
      <cdr:txBody>
        <a:bodyPr xmlns:a="http://schemas.openxmlformats.org/drawingml/2006/main" vertOverflow="clip" wrap="square" rtlCol="0" anchor="ctr">
          <a:spAutoFit/>
        </a:bodyPr>
        <a:lstStyle xmlns:a="http://schemas.openxmlformats.org/drawingml/2006/main"/>
        <a:p xmlns:a="http://schemas.openxmlformats.org/drawingml/2006/main">
          <a:pPr algn="ctr"/>
          <a:fld id="{87BC9A5C-3D10-4ADC-B5DF-8FB69F768D45}" type="TxLink">
            <a:rPr lang="en-US" sz="3600" b="1" i="0" u="none" strike="noStrike" cap="none" spc="0">
              <a:ln w="22225">
                <a:solidFill>
                  <a:schemeClr val="accent2"/>
                </a:solidFill>
                <a:prstDash val="solid"/>
              </a:ln>
              <a:solidFill>
                <a:schemeClr val="accent2">
                  <a:lumMod val="40000"/>
                  <a:lumOff val="60000"/>
                </a:schemeClr>
              </a:solidFill>
              <a:effectLst/>
              <a:latin typeface="Calibri"/>
              <a:cs typeface="Calibri"/>
            </a:rPr>
            <a:pPr algn="ctr"/>
            <a:t>$ 60,839.7 K</a:t>
          </a:fld>
          <a:endParaRPr lang="es-MX" sz="3600" b="1" cap="none" spc="0">
            <a:ln w="22225">
              <a:solidFill>
                <a:schemeClr val="accent2"/>
              </a:solidFill>
              <a:prstDash val="solid"/>
            </a:ln>
            <a:solidFill>
              <a:schemeClr val="accent2">
                <a:lumMod val="40000"/>
                <a:lumOff val="60000"/>
              </a:schemeClr>
            </a:solidFill>
            <a:effectLst/>
          </a:endParaRPr>
        </a:p>
      </cdr:txBody>
    </cdr:sp>
  </cdr:absSizeAnchor>
  <cdr:relSizeAnchor xmlns:cdr="http://schemas.openxmlformats.org/drawingml/2006/chartDrawing">
    <cdr:from>
      <cdr:x>0.06197</cdr:x>
      <cdr:y>0</cdr:y>
    </cdr:from>
    <cdr:to>
      <cdr:x>0.37901</cdr:x>
      <cdr:y>0.10979</cdr:y>
    </cdr:to>
    <cdr:sp macro="" textlink="">
      <cdr:nvSpPr>
        <cdr:cNvPr id="4" name="CuadroTexto 13">
          <a:extLst xmlns:a="http://schemas.openxmlformats.org/drawingml/2006/main">
            <a:ext uri="{FF2B5EF4-FFF2-40B4-BE49-F238E27FC236}">
              <a16:creationId xmlns:a16="http://schemas.microsoft.com/office/drawing/2014/main" id="{E42735DB-4BD2-453C-903A-DD4B67ED25A1}"/>
            </a:ext>
          </a:extLst>
        </cdr:cNvPr>
        <cdr:cNvSpPr txBox="1"/>
      </cdr:nvSpPr>
      <cdr:spPr>
        <a:xfrm xmlns:a="http://schemas.openxmlformats.org/drawingml/2006/main">
          <a:off x="294640" y="0"/>
          <a:ext cx="150749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69FAAE1-F180-484C-80F8-4E02A533768E}" type="TxLink">
            <a:rPr lang="en-US" sz="2000" b="0" i="1" u="none" strike="noStrike" cap="none" spc="0">
              <a:ln w="0"/>
              <a:solidFill>
                <a:schemeClr val="accent1">
                  <a:lumMod val="50000"/>
                </a:schemeClr>
              </a:solidFill>
              <a:effectLst>
                <a:outerShdw blurRad="38100" dist="19050" dir="2700000" algn="tl" rotWithShape="0">
                  <a:schemeClr val="dk1">
                    <a:alpha val="40000"/>
                  </a:schemeClr>
                </a:outerShdw>
              </a:effectLst>
              <a:latin typeface="Calibri"/>
              <a:cs typeface="Calibri"/>
            </a:rPr>
            <a:pPr algn="ctr"/>
            <a:t>Utilidad</a:t>
          </a:fld>
          <a:endParaRPr lang="es-MX" sz="4400" b="0" i="1" cap="none" spc="0">
            <a:ln w="0"/>
            <a:solidFill>
              <a:schemeClr val="accent1">
                <a:lumMod val="50000"/>
              </a:schemeClr>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ngel Campos" refreshedDate="45990.995769212961" createdVersion="8" refreshedVersion="8" minRefreshableVersion="3" recordCount="510" xr:uid="{10CF582F-0197-4571-8929-D7A7287E9E63}">
  <cacheSource type="worksheet">
    <worksheetSource ref="B2:G512" sheet="Datos"/>
  </cacheSource>
  <cacheFields count="6">
    <cacheField name="MES" numFmtId="0">
      <sharedItems count="12">
        <s v="ENERO"/>
        <s v="FEBRERO"/>
        <s v="MARZO"/>
        <s v="ABRIL"/>
        <s v="MAYO"/>
        <s v="JUNIO"/>
        <s v="JULIO"/>
        <s v="AGOSTO"/>
        <s v="SEPTIEMBRE"/>
        <s v="OCTUBRE"/>
        <s v="NOVIEMBRE"/>
        <s v="DICIEMBRE"/>
      </sharedItems>
    </cacheField>
    <cacheField name="CANTIDAD" numFmtId="166">
      <sharedItems containsBlank="1" containsMixedTypes="1" containsNumber="1" minValue="-89141.174399999902" maxValue="71906137.624352232"/>
    </cacheField>
    <cacheField name="AÑO" numFmtId="0">
      <sharedItems containsSemiMixedTypes="0" containsString="0" containsNumber="1" containsInteger="1" minValue="2021" maxValue="2022" count="2">
        <n v="2021"/>
        <n v="2022"/>
      </sharedItems>
    </cacheField>
    <cacheField name="TIPO DE VENTA" numFmtId="0">
      <sharedItems count="6">
        <s v="Cliente 01"/>
        <s v="Cliente 03"/>
        <s v="Cliente 02"/>
        <s v="COVID" u="1"/>
        <s v="Similares" u="1"/>
        <s v="Referencia" u="1"/>
      </sharedItems>
    </cacheField>
    <cacheField name="C de PROCESO" numFmtId="0">
      <sharedItems count="10">
        <s v="OAX"/>
        <s v="CAM"/>
        <s v="ACA"/>
        <s v="MID"/>
        <s v="Qtza"/>
        <s v="MTY"/>
        <s v="CUN"/>
        <s v="CDMX"/>
        <s v="GDL"/>
        <s v="Orthin"/>
      </sharedItems>
    </cacheField>
    <cacheField name="ESTADO" numFmtId="0">
      <sharedItems/>
    </cacheField>
  </cacheFields>
  <extLst>
    <ext xmlns:x14="http://schemas.microsoft.com/office/spreadsheetml/2009/9/main" uri="{725AE2AE-9491-48be-B2B4-4EB974FC3084}">
      <x14:pivotCacheDefinition pivotCacheId="11688912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ngel Campos" refreshedDate="45990.995770370369" createdVersion="8" refreshedVersion="8" minRefreshableVersion="3" recordCount="113" xr:uid="{E834151C-99BB-402F-8924-F9B312DAA567}">
  <cacheSource type="worksheet">
    <worksheetSource ref="I2:L115" sheet="Datos"/>
  </cacheSource>
  <cacheFields count="4">
    <cacheField name="MES" numFmtId="0">
      <sharedItems count="13">
        <s v="ENERO"/>
        <s v="FEBRERO"/>
        <s v="MARZO"/>
        <s v="ABRIL"/>
        <s v="MAYO"/>
        <s v="JUNIO"/>
        <s v="JULIO"/>
        <s v="AGOSTO"/>
        <s v="SEPTIEMBRE"/>
        <s v="OCTUBRE"/>
        <s v="NOVIEMBRE"/>
        <s v="DICIEMBRE"/>
        <s v="Orthin" u="1"/>
      </sharedItems>
    </cacheField>
    <cacheField name="CANTIDAD" numFmtId="9">
      <sharedItems containsMixedTypes="1" containsNumber="1" minValue="-2.0175556944376272" maxValue="0.64101215348421858"/>
    </cacheField>
    <cacheField name="AÑO" numFmtId="0">
      <sharedItems containsSemiMixedTypes="0" containsString="0" containsNumber="1" containsInteger="1" minValue="2022" maxValue="2022"/>
    </cacheField>
    <cacheField name="C de PROCESO" numFmtId="0">
      <sharedItems count="24">
        <s v="OAX"/>
        <s v="CAM"/>
        <s v="ACA"/>
        <s v="MID"/>
        <s v="Qtza"/>
        <s v="MTY"/>
        <s v="CUN"/>
        <s v="GDL"/>
        <s v="CDMX"/>
        <s v="Orthin"/>
        <s v="CAMPECHE" u="1"/>
        <s v="Mayo" u="1"/>
        <s v="Abril" u="1"/>
        <s v="CANCÚN" u="1"/>
        <s v="COATZACOALCOS" u="1"/>
        <s v="Enero" u="1"/>
        <s v="Febrero" u="1"/>
        <s v="Qatz" u="1"/>
        <s v="Marzo" u="1"/>
        <s v="ACAPULCO" u="1"/>
        <s v="OAXACA" u="1"/>
        <s v="MERIDA" u="1"/>
        <s v="GUADALAJARA" u="1"/>
        <s v="MONTERREY" u="1"/>
      </sharedItems>
    </cacheField>
  </cacheFields>
  <extLst>
    <ext xmlns:x14="http://schemas.microsoft.com/office/spreadsheetml/2009/9/main" uri="{725AE2AE-9491-48be-B2B4-4EB974FC3084}">
      <x14:pivotCacheDefinition pivotCacheId="9743091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ngel Campos" refreshedDate="45990.995771875001" createdVersion="8" refreshedVersion="8" minRefreshableVersion="3" recordCount="1650" xr:uid="{5480A341-3916-4D92-9636-079F8C286313}">
  <cacheSource type="worksheet">
    <worksheetSource ref="B2:G1656" sheet="Datos"/>
  </cacheSource>
  <cacheFields count="6">
    <cacheField name="MES" numFmtId="0">
      <sharedItems containsBlank="1" count="13">
        <s v="ENERO"/>
        <s v="FEBRERO"/>
        <s v="MARZO"/>
        <s v="ABRIL"/>
        <s v="MAYO"/>
        <s v="JUNIO"/>
        <s v="JULIO"/>
        <s v="AGOSTO"/>
        <s v="SEPTIEMBRE"/>
        <s v="OCTUBRE"/>
        <s v="NOVIEMBRE"/>
        <s v="DICIEMBRE"/>
        <m/>
      </sharedItems>
    </cacheField>
    <cacheField name="CANTIDAD" numFmtId="0">
      <sharedItems containsBlank="1" containsMixedTypes="1" containsNumber="1" minValue="-89141.174399999902" maxValue="71906137.624352232"/>
    </cacheField>
    <cacheField name="AÑO" numFmtId="0">
      <sharedItems containsString="0" containsBlank="1" containsNumber="1" containsInteger="1" minValue="2021" maxValue="2022" count="3">
        <n v="2021"/>
        <n v="2022"/>
        <m/>
      </sharedItems>
    </cacheField>
    <cacheField name="TIPO DE VENTA" numFmtId="0">
      <sharedItems containsBlank="1"/>
    </cacheField>
    <cacheField name="C de PROCESO" numFmtId="0">
      <sharedItems containsBlank="1" count="20">
        <s v="OAX"/>
        <s v="CAM"/>
        <s v="ACA"/>
        <s v="MID"/>
        <s v="Qtza"/>
        <s v="MTY"/>
        <s v="CUN"/>
        <s v="CDMX"/>
        <s v="GDL"/>
        <s v="Orthin"/>
        <m/>
        <s v="CAMPECHE" u="1"/>
        <s v="CANCÚN" u="1"/>
        <s v="COATZACOALCOS" u="1"/>
        <s v="ACAPULCO" u="1"/>
        <s v="MÉRIDA" u="1"/>
        <s v="OAXACA" u="1"/>
        <s v="General" u="1"/>
        <s v="GUADALAJARA" u="1"/>
        <s v="MONTERREY" u="1"/>
      </sharedItems>
    </cacheField>
    <cacheField name="ESTADO" numFmtId="0">
      <sharedItems containsBlank="1"/>
    </cacheField>
  </cacheFields>
  <extLst>
    <ext xmlns:x14="http://schemas.microsoft.com/office/spreadsheetml/2009/9/main" uri="{725AE2AE-9491-48be-B2B4-4EB974FC3084}">
      <x14:pivotCacheDefinition pivotCacheId="1970262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x v="0"/>
    <n v="3132"/>
    <x v="0"/>
    <x v="0"/>
    <x v="0"/>
    <s v="Oaxaca"/>
  </r>
  <r>
    <x v="1"/>
    <n v="1566"/>
    <x v="0"/>
    <x v="0"/>
    <x v="0"/>
    <s v="Oaxaca"/>
  </r>
  <r>
    <x v="2"/>
    <n v="22504"/>
    <x v="0"/>
    <x v="0"/>
    <x v="0"/>
    <s v="Oaxaca"/>
  </r>
  <r>
    <x v="3"/>
    <n v="51678"/>
    <x v="0"/>
    <x v="0"/>
    <x v="0"/>
    <s v="Oaxaca"/>
  </r>
  <r>
    <x v="4"/>
    <n v="19140"/>
    <x v="0"/>
    <x v="0"/>
    <x v="0"/>
    <s v="Oaxaca"/>
  </r>
  <r>
    <x v="5"/>
    <n v="11310"/>
    <x v="0"/>
    <x v="0"/>
    <x v="0"/>
    <s v="Oaxaca"/>
  </r>
  <r>
    <x v="6"/>
    <n v="43500"/>
    <x v="0"/>
    <x v="0"/>
    <x v="0"/>
    <s v="Oaxaca"/>
  </r>
  <r>
    <x v="7"/>
    <n v="46980"/>
    <x v="0"/>
    <x v="0"/>
    <x v="0"/>
    <s v="Oaxaca"/>
  </r>
  <r>
    <x v="8"/>
    <n v="33060"/>
    <x v="0"/>
    <x v="0"/>
    <x v="0"/>
    <s v="Oaxaca"/>
  </r>
  <r>
    <x v="9"/>
    <n v="8700"/>
    <x v="0"/>
    <x v="0"/>
    <x v="0"/>
    <s v="Oaxaca"/>
  </r>
  <r>
    <x v="10"/>
    <n v="9860"/>
    <x v="0"/>
    <x v="0"/>
    <x v="0"/>
    <s v="Oaxaca"/>
  </r>
  <r>
    <x v="11"/>
    <n v="2610"/>
    <x v="0"/>
    <x v="0"/>
    <x v="0"/>
    <s v="Oaxaca"/>
  </r>
  <r>
    <x v="0"/>
    <n v="48720"/>
    <x v="1"/>
    <x v="0"/>
    <x v="0"/>
    <s v="Oaxaca"/>
  </r>
  <r>
    <x v="1"/>
    <n v="9570"/>
    <x v="1"/>
    <x v="0"/>
    <x v="0"/>
    <s v="Oaxaca"/>
  </r>
  <r>
    <x v="2"/>
    <n v="2610"/>
    <x v="1"/>
    <x v="0"/>
    <x v="0"/>
    <s v="Oaxaca"/>
  </r>
  <r>
    <x v="3"/>
    <n v="870"/>
    <x v="1"/>
    <x v="0"/>
    <x v="0"/>
    <s v="Oaxaca"/>
  </r>
  <r>
    <x v="4"/>
    <s v="-"/>
    <x v="1"/>
    <x v="0"/>
    <x v="0"/>
    <s v="Oaxaca"/>
  </r>
  <r>
    <x v="0"/>
    <n v="160769.04"/>
    <x v="0"/>
    <x v="0"/>
    <x v="1"/>
    <s v="Campeche"/>
  </r>
  <r>
    <x v="1"/>
    <n v="173761.04"/>
    <x v="0"/>
    <x v="0"/>
    <x v="1"/>
    <s v="Campeche"/>
  </r>
  <r>
    <x v="2"/>
    <n v="196504"/>
    <x v="0"/>
    <x v="0"/>
    <x v="1"/>
    <s v="Campeche"/>
  </r>
  <r>
    <x v="3"/>
    <n v="376304"/>
    <x v="0"/>
    <x v="0"/>
    <x v="1"/>
    <s v="Campeche"/>
  </r>
  <r>
    <x v="4"/>
    <n v="173826"/>
    <x v="0"/>
    <x v="0"/>
    <x v="1"/>
    <s v="Campeche"/>
  </r>
  <r>
    <x v="5"/>
    <n v="108750"/>
    <x v="0"/>
    <x v="0"/>
    <x v="1"/>
    <s v="Campeche"/>
  </r>
  <r>
    <x v="6"/>
    <n v="183454"/>
    <x v="0"/>
    <x v="0"/>
    <x v="1"/>
    <s v="Campeche"/>
  </r>
  <r>
    <x v="7"/>
    <n v="223242"/>
    <x v="0"/>
    <x v="0"/>
    <x v="1"/>
    <s v="Campeche"/>
  </r>
  <r>
    <x v="8"/>
    <n v="306008"/>
    <x v="0"/>
    <x v="0"/>
    <x v="1"/>
    <s v="Campeche"/>
  </r>
  <r>
    <x v="9"/>
    <n v="91872"/>
    <x v="0"/>
    <x v="0"/>
    <x v="1"/>
    <s v="Campeche"/>
  </r>
  <r>
    <x v="10"/>
    <n v="47554.200000000033"/>
    <x v="0"/>
    <x v="0"/>
    <x v="1"/>
    <s v="Campeche"/>
  </r>
  <r>
    <x v="11"/>
    <n v="201086.01"/>
    <x v="0"/>
    <x v="0"/>
    <x v="1"/>
    <s v="Campeche"/>
  </r>
  <r>
    <x v="0"/>
    <n v="1020104"/>
    <x v="1"/>
    <x v="0"/>
    <x v="1"/>
    <s v="Campeche"/>
  </r>
  <r>
    <x v="1"/>
    <n v="308676"/>
    <x v="1"/>
    <x v="0"/>
    <x v="1"/>
    <s v="Campeche"/>
  </r>
  <r>
    <x v="2"/>
    <n v="117566"/>
    <x v="1"/>
    <x v="0"/>
    <x v="1"/>
    <s v="Campeche"/>
  </r>
  <r>
    <x v="3"/>
    <n v="66584"/>
    <x v="1"/>
    <x v="0"/>
    <x v="1"/>
    <s v="Campeche"/>
  </r>
  <r>
    <x v="4"/>
    <n v="55332"/>
    <x v="1"/>
    <x v="0"/>
    <x v="1"/>
    <s v="Campeche"/>
  </r>
  <r>
    <x v="0"/>
    <n v="432448"/>
    <x v="0"/>
    <x v="0"/>
    <x v="2"/>
    <s v="Guerrero"/>
  </r>
  <r>
    <x v="1"/>
    <n v="609580"/>
    <x v="0"/>
    <x v="0"/>
    <x v="2"/>
    <s v="Guerrero"/>
  </r>
  <r>
    <x v="2"/>
    <n v="416498"/>
    <x v="0"/>
    <x v="0"/>
    <x v="2"/>
    <s v="Guerrero"/>
  </r>
  <r>
    <x v="3"/>
    <n v="473222"/>
    <x v="0"/>
    <x v="0"/>
    <x v="2"/>
    <s v="Guerrero"/>
  </r>
  <r>
    <x v="4"/>
    <n v="512314"/>
    <x v="0"/>
    <x v="0"/>
    <x v="2"/>
    <s v="Guerrero"/>
  </r>
  <r>
    <x v="5"/>
    <n v="177190"/>
    <x v="0"/>
    <x v="0"/>
    <x v="2"/>
    <s v="Guerrero"/>
  </r>
  <r>
    <x v="6"/>
    <n v="707999.45759999985"/>
    <x v="0"/>
    <x v="0"/>
    <x v="2"/>
    <s v="Guerrero"/>
  </r>
  <r>
    <x v="7"/>
    <n v="978634"/>
    <x v="0"/>
    <x v="0"/>
    <x v="2"/>
    <s v="Guerrero"/>
  </r>
  <r>
    <x v="8"/>
    <n v="335530"/>
    <x v="0"/>
    <x v="0"/>
    <x v="2"/>
    <s v="Guerrero"/>
  </r>
  <r>
    <x v="9"/>
    <n v="386736.11"/>
    <x v="0"/>
    <x v="0"/>
    <x v="2"/>
    <s v="Guerrero"/>
  </r>
  <r>
    <x v="10"/>
    <n v="487702.2799999998"/>
    <x v="0"/>
    <x v="0"/>
    <x v="2"/>
    <s v="Guerrero"/>
  </r>
  <r>
    <x v="11"/>
    <n v="1026762.9567999996"/>
    <x v="0"/>
    <x v="0"/>
    <x v="2"/>
    <s v="Guerrero"/>
  </r>
  <r>
    <x v="0"/>
    <n v="1355635.1600231794"/>
    <x v="1"/>
    <x v="0"/>
    <x v="2"/>
    <s v="Guerrero"/>
  </r>
  <r>
    <x v="1"/>
    <n v="963704.79999998992"/>
    <x v="1"/>
    <x v="0"/>
    <x v="2"/>
    <s v="Guerrero"/>
  </r>
  <r>
    <x v="2"/>
    <n v="252265.2000000012"/>
    <x v="1"/>
    <x v="0"/>
    <x v="2"/>
    <s v="Guerrero"/>
  </r>
  <r>
    <x v="3"/>
    <n v="144025.59999999992"/>
    <x v="1"/>
    <x v="0"/>
    <x v="2"/>
    <s v="Guerrero"/>
  </r>
  <r>
    <x v="4"/>
    <n v="69936.399999999936"/>
    <x v="1"/>
    <x v="0"/>
    <x v="2"/>
    <s v="Guerrero"/>
  </r>
  <r>
    <x v="0"/>
    <n v="2098717.2400000002"/>
    <x v="0"/>
    <x v="0"/>
    <x v="3"/>
    <s v="Yucatán"/>
  </r>
  <r>
    <x v="1"/>
    <n v="2454959.04"/>
    <x v="0"/>
    <x v="0"/>
    <x v="3"/>
    <s v="Yucatán"/>
  </r>
  <r>
    <x v="2"/>
    <n v="1598886"/>
    <x v="0"/>
    <x v="0"/>
    <x v="3"/>
    <s v="Yucatán"/>
  </r>
  <r>
    <x v="3"/>
    <n v="1456728"/>
    <x v="0"/>
    <x v="0"/>
    <x v="3"/>
    <s v="Yucatán"/>
  </r>
  <r>
    <x v="4"/>
    <n v="1727472"/>
    <x v="0"/>
    <x v="0"/>
    <x v="3"/>
    <s v="Yucatán"/>
  </r>
  <r>
    <x v="5"/>
    <n v="2135792"/>
    <x v="0"/>
    <x v="0"/>
    <x v="3"/>
    <s v="Yucatán"/>
  </r>
  <r>
    <x v="6"/>
    <n v="3897436.2312000399"/>
    <x v="0"/>
    <x v="0"/>
    <x v="3"/>
    <s v="Yucatán"/>
  </r>
  <r>
    <x v="7"/>
    <n v="5461790.4000001252"/>
    <x v="0"/>
    <x v="0"/>
    <x v="3"/>
    <s v="Yucatán"/>
  </r>
  <r>
    <x v="8"/>
    <n v="2435187.9999999614"/>
    <x v="0"/>
    <x v="0"/>
    <x v="3"/>
    <s v="Yucatán"/>
  </r>
  <r>
    <x v="9"/>
    <n v="3294267.76"/>
    <x v="0"/>
    <x v="0"/>
    <x v="3"/>
    <s v="Yucatán"/>
  </r>
  <r>
    <x v="10"/>
    <n v="1328866.999999993"/>
    <x v="0"/>
    <x v="0"/>
    <x v="3"/>
    <s v="Yucatán"/>
  </r>
  <r>
    <x v="11"/>
    <n v="12919722.719999813"/>
    <x v="0"/>
    <x v="0"/>
    <x v="3"/>
    <s v="Yucatán"/>
  </r>
  <r>
    <x v="0"/>
    <n v="7787393.2000000421"/>
    <x v="1"/>
    <x v="0"/>
    <x v="3"/>
    <s v="Yucatán"/>
  </r>
  <r>
    <x v="1"/>
    <n v="5153073.8000000045"/>
    <x v="1"/>
    <x v="0"/>
    <x v="3"/>
    <s v="Yucatán"/>
  </r>
  <r>
    <x v="2"/>
    <n v="1377627.5999999996"/>
    <x v="1"/>
    <x v="0"/>
    <x v="3"/>
    <s v="Yucatán"/>
  </r>
  <r>
    <x v="3"/>
    <n v="467601.8000000004"/>
    <x v="1"/>
    <x v="0"/>
    <x v="3"/>
    <s v="Yucatán"/>
  </r>
  <r>
    <x v="4"/>
    <n v="354907.80000000045"/>
    <x v="1"/>
    <x v="0"/>
    <x v="3"/>
    <s v="Yucatán"/>
  </r>
  <r>
    <x v="0"/>
    <n v="366328"/>
    <x v="0"/>
    <x v="0"/>
    <x v="4"/>
    <s v="Veracruz"/>
  </r>
  <r>
    <x v="1"/>
    <n v="396546"/>
    <x v="0"/>
    <x v="0"/>
    <x v="4"/>
    <s v="Veracruz"/>
  </r>
  <r>
    <x v="2"/>
    <n v="214078"/>
    <x v="0"/>
    <x v="0"/>
    <x v="4"/>
    <s v="Veracruz"/>
  </r>
  <r>
    <x v="3"/>
    <n v="201144"/>
    <x v="0"/>
    <x v="0"/>
    <x v="4"/>
    <s v="Veracruz"/>
  </r>
  <r>
    <x v="4"/>
    <n v="103008"/>
    <x v="0"/>
    <x v="0"/>
    <x v="4"/>
    <s v="Veracruz"/>
  </r>
  <r>
    <x v="5"/>
    <n v="80214"/>
    <x v="0"/>
    <x v="0"/>
    <x v="4"/>
    <s v="Veracruz"/>
  </r>
  <r>
    <x v="6"/>
    <n v="164256"/>
    <x v="0"/>
    <x v="0"/>
    <x v="4"/>
    <s v="Veracruz"/>
  </r>
  <r>
    <x v="7"/>
    <n v="368532"/>
    <x v="0"/>
    <x v="0"/>
    <x v="4"/>
    <s v="Veracruz"/>
  </r>
  <r>
    <x v="8"/>
    <n v="156658"/>
    <x v="0"/>
    <x v="0"/>
    <x v="4"/>
    <s v="Veracruz"/>
  </r>
  <r>
    <x v="9"/>
    <n v="79692"/>
    <x v="0"/>
    <x v="0"/>
    <x v="4"/>
    <s v="Veracruz"/>
  </r>
  <r>
    <x v="10"/>
    <n v="77366.200000000026"/>
    <x v="0"/>
    <x v="0"/>
    <x v="4"/>
    <s v="Veracruz"/>
  </r>
  <r>
    <x v="11"/>
    <n v="361920"/>
    <x v="0"/>
    <x v="0"/>
    <x v="4"/>
    <s v="Veracruz"/>
  </r>
  <r>
    <x v="0"/>
    <n v="1285628"/>
    <x v="1"/>
    <x v="0"/>
    <x v="4"/>
    <s v="Veracruz"/>
  </r>
  <r>
    <x v="1"/>
    <n v="805040"/>
    <x v="1"/>
    <x v="0"/>
    <x v="4"/>
    <s v="Veracruz"/>
  </r>
  <r>
    <x v="2"/>
    <n v="341214"/>
    <x v="1"/>
    <x v="0"/>
    <x v="4"/>
    <s v="Veracruz"/>
  </r>
  <r>
    <x v="3"/>
    <n v="235364"/>
    <x v="1"/>
    <x v="0"/>
    <x v="4"/>
    <s v="Veracruz"/>
  </r>
  <r>
    <x v="4"/>
    <n v="242208"/>
    <x v="1"/>
    <x v="0"/>
    <x v="4"/>
    <s v="Veracruz"/>
  </r>
  <r>
    <x v="0"/>
    <n v="4310031.2"/>
    <x v="0"/>
    <x v="0"/>
    <x v="5"/>
    <s v="Nuevo León"/>
  </r>
  <r>
    <x v="1"/>
    <n v="3974530.2604001886"/>
    <x v="0"/>
    <x v="0"/>
    <x v="5"/>
    <s v="Nuevo León"/>
  </r>
  <r>
    <x v="2"/>
    <n v="2172117.3999999561"/>
    <x v="0"/>
    <x v="0"/>
    <x v="5"/>
    <s v="Nuevo León"/>
  </r>
  <r>
    <x v="3"/>
    <n v="2091433.5999999563"/>
    <x v="0"/>
    <x v="0"/>
    <x v="5"/>
    <s v="Nuevo León"/>
  </r>
  <r>
    <x v="4"/>
    <n v="1365580.9999999783"/>
    <x v="0"/>
    <x v="0"/>
    <x v="5"/>
    <s v="Nuevo León"/>
  </r>
  <r>
    <x v="5"/>
    <n v="1700026.3999999715"/>
    <x v="0"/>
    <x v="0"/>
    <x v="5"/>
    <s v="Nuevo León"/>
  </r>
  <r>
    <x v="6"/>
    <n v="3081969.2000000915"/>
    <x v="0"/>
    <x v="0"/>
    <x v="5"/>
    <s v="Nuevo León"/>
  </r>
  <r>
    <x v="7"/>
    <n v="6895248.8000003742"/>
    <x v="0"/>
    <x v="0"/>
    <x v="5"/>
    <s v="Nuevo León"/>
  </r>
  <r>
    <x v="8"/>
    <n v="4234910.6000001812"/>
    <x v="0"/>
    <x v="0"/>
    <x v="5"/>
    <s v="Nuevo León"/>
  </r>
  <r>
    <x v="9"/>
    <n v="1956148.5999999999"/>
    <x v="0"/>
    <x v="0"/>
    <x v="5"/>
    <s v="Nuevo León"/>
  </r>
  <r>
    <x v="10"/>
    <n v="1647425.0400000017"/>
    <x v="0"/>
    <x v="0"/>
    <x v="5"/>
    <s v="Nuevo León"/>
  </r>
  <r>
    <x v="11"/>
    <n v="2422398.9999999693"/>
    <x v="0"/>
    <x v="0"/>
    <x v="5"/>
    <s v="Nuevo León"/>
  </r>
  <r>
    <x v="0"/>
    <n v="9109258.4400000293"/>
    <x v="1"/>
    <x v="0"/>
    <x v="5"/>
    <s v="Nuevo León"/>
  </r>
  <r>
    <x v="1"/>
    <n v="2475547.8800000036"/>
    <x v="1"/>
    <x v="0"/>
    <x v="5"/>
    <s v="Nuevo León"/>
  </r>
  <r>
    <x v="2"/>
    <n v="825182.23999999452"/>
    <x v="1"/>
    <x v="0"/>
    <x v="5"/>
    <s v="Nuevo León"/>
  </r>
  <r>
    <x v="3"/>
    <n v="489075.72000000259"/>
    <x v="1"/>
    <x v="0"/>
    <x v="5"/>
    <s v="Nuevo León"/>
  </r>
  <r>
    <x v="4"/>
    <n v="531950.48000000266"/>
    <x v="1"/>
    <x v="0"/>
    <x v="5"/>
    <s v="Nuevo León"/>
  </r>
  <r>
    <x v="0"/>
    <n v="9297214.4000000004"/>
    <x v="0"/>
    <x v="0"/>
    <x v="6"/>
    <s v="Quintana Roo"/>
  </r>
  <r>
    <x v="1"/>
    <n v="9540675.014399983"/>
    <x v="0"/>
    <x v="0"/>
    <x v="6"/>
    <s v="Quintana Roo"/>
  </r>
  <r>
    <x v="2"/>
    <n v="5311524"/>
    <x v="0"/>
    <x v="0"/>
    <x v="6"/>
    <s v="Quintana Roo"/>
  </r>
  <r>
    <x v="3"/>
    <n v="5340524"/>
    <x v="0"/>
    <x v="0"/>
    <x v="6"/>
    <s v="Quintana Roo"/>
  </r>
  <r>
    <x v="4"/>
    <n v="4240728"/>
    <x v="0"/>
    <x v="0"/>
    <x v="6"/>
    <s v="Quintana Roo"/>
  </r>
  <r>
    <x v="5"/>
    <n v="2218442"/>
    <x v="0"/>
    <x v="0"/>
    <x v="6"/>
    <s v="Quintana Roo"/>
  </r>
  <r>
    <x v="6"/>
    <n v="2765730"/>
    <x v="0"/>
    <x v="0"/>
    <x v="6"/>
    <s v="Quintana Roo"/>
  </r>
  <r>
    <x v="7"/>
    <n v="4469364"/>
    <x v="0"/>
    <x v="0"/>
    <x v="6"/>
    <s v="Quintana Roo"/>
  </r>
  <r>
    <x v="8"/>
    <n v="2688764"/>
    <x v="0"/>
    <x v="0"/>
    <x v="6"/>
    <s v="Quintana Roo"/>
  </r>
  <r>
    <x v="9"/>
    <n v="2601590"/>
    <x v="0"/>
    <x v="0"/>
    <x v="6"/>
    <s v="Quintana Roo"/>
  </r>
  <r>
    <x v="10"/>
    <n v="9180109.7088000812"/>
    <x v="0"/>
    <x v="0"/>
    <x v="6"/>
    <s v="Quintana Roo"/>
  </r>
  <r>
    <x v="11"/>
    <n v="11326356"/>
    <x v="0"/>
    <x v="0"/>
    <x v="6"/>
    <s v="Quintana Roo"/>
  </r>
  <r>
    <x v="0"/>
    <n v="8079806"/>
    <x v="1"/>
    <x v="0"/>
    <x v="6"/>
    <s v="Quintana Roo"/>
  </r>
  <r>
    <x v="1"/>
    <n v="5617010"/>
    <x v="1"/>
    <x v="0"/>
    <x v="6"/>
    <s v="Quintana Roo"/>
  </r>
  <r>
    <x v="2"/>
    <n v="2364219.1999999993"/>
    <x v="1"/>
    <x v="0"/>
    <x v="6"/>
    <s v="Quintana Roo"/>
  </r>
  <r>
    <x v="3"/>
    <n v="687613.20000000007"/>
    <x v="1"/>
    <x v="0"/>
    <x v="6"/>
    <s v="Quintana Roo"/>
  </r>
  <r>
    <x v="4"/>
    <n v="228496.8"/>
    <x v="1"/>
    <x v="0"/>
    <x v="6"/>
    <s v="Quintana Roo"/>
  </r>
  <r>
    <x v="0"/>
    <n v="37471896.609999992"/>
    <x v="0"/>
    <x v="0"/>
    <x v="7"/>
    <s v="CDMX"/>
  </r>
  <r>
    <x v="1"/>
    <n v="31879155.716400154"/>
    <x v="0"/>
    <x v="0"/>
    <x v="7"/>
    <s v="CDMX"/>
  </r>
  <r>
    <x v="2"/>
    <n v="21642111.1580007"/>
    <x v="0"/>
    <x v="0"/>
    <x v="7"/>
    <s v="CDMX"/>
  </r>
  <r>
    <x v="3"/>
    <n v="17635338.652800303"/>
    <x v="0"/>
    <x v="0"/>
    <x v="7"/>
    <s v="CDMX"/>
  </r>
  <r>
    <x v="4"/>
    <n v="14886468.917600201"/>
    <x v="0"/>
    <x v="0"/>
    <x v="7"/>
    <s v="CDMX"/>
  </r>
  <r>
    <x v="5"/>
    <n v="11545615.394000059"/>
    <x v="0"/>
    <x v="0"/>
    <x v="7"/>
    <s v="CDMX"/>
  </r>
  <r>
    <x v="6"/>
    <n v="19752608.701200403"/>
    <x v="0"/>
    <x v="0"/>
    <x v="7"/>
    <s v="CDMX"/>
  </r>
  <r>
    <x v="7"/>
    <n v="28753362.493602041"/>
    <x v="0"/>
    <x v="0"/>
    <x v="7"/>
    <s v="CDMX"/>
  </r>
  <r>
    <x v="8"/>
    <n v="16376780.903600294"/>
    <x v="0"/>
    <x v="0"/>
    <x v="7"/>
    <s v="CDMX"/>
  </r>
  <r>
    <x v="9"/>
    <n v="10811952.949999999"/>
    <x v="0"/>
    <x v="0"/>
    <x v="7"/>
    <s v="CDMX"/>
  </r>
  <r>
    <x v="10"/>
    <n v="10443317.715999929"/>
    <x v="0"/>
    <x v="0"/>
    <x v="7"/>
    <s v="CDMX"/>
  </r>
  <r>
    <x v="11"/>
    <n v="14438333.287200006"/>
    <x v="0"/>
    <x v="0"/>
    <x v="7"/>
    <s v="CDMX"/>
  </r>
  <r>
    <x v="0"/>
    <n v="37283231.418399461"/>
    <x v="1"/>
    <x v="0"/>
    <x v="7"/>
    <s v="CDMX"/>
  </r>
  <r>
    <x v="1"/>
    <n v="13068464.879999761"/>
    <x v="1"/>
    <x v="0"/>
    <x v="7"/>
    <s v="CDMX"/>
  </r>
  <r>
    <x v="2"/>
    <n v="9180713.2799997851"/>
    <x v="1"/>
    <x v="0"/>
    <x v="7"/>
    <s v="CDMX"/>
  </r>
  <r>
    <x v="3"/>
    <n v="4359706.8800000725"/>
    <x v="1"/>
    <x v="0"/>
    <x v="7"/>
    <s v="CDMX"/>
  </r>
  <r>
    <x v="4"/>
    <n v="3219741.2399999914"/>
    <x v="1"/>
    <x v="0"/>
    <x v="7"/>
    <s v="CDMX"/>
  </r>
  <r>
    <x v="0"/>
    <n v="2624439.6800000002"/>
    <x v="0"/>
    <x v="0"/>
    <x v="8"/>
    <s v="Jalisco"/>
  </r>
  <r>
    <x v="1"/>
    <n v="1504520"/>
    <x v="0"/>
    <x v="0"/>
    <x v="8"/>
    <s v="Jalisco"/>
  </r>
  <r>
    <x v="2"/>
    <n v="547752"/>
    <x v="0"/>
    <x v="0"/>
    <x v="8"/>
    <s v="Jalisco"/>
  </r>
  <r>
    <x v="3"/>
    <n v="675468"/>
    <x v="0"/>
    <x v="0"/>
    <x v="8"/>
    <s v="Jalisco"/>
  </r>
  <r>
    <x v="4"/>
    <n v="441380"/>
    <x v="0"/>
    <x v="0"/>
    <x v="8"/>
    <s v="Jalisco"/>
  </r>
  <r>
    <x v="5"/>
    <n v="304268"/>
    <x v="0"/>
    <x v="0"/>
    <x v="8"/>
    <s v="Jalisco"/>
  </r>
  <r>
    <x v="6"/>
    <n v="1015243.5999999999"/>
    <x v="0"/>
    <x v="0"/>
    <x v="8"/>
    <s v="Jalisco"/>
  </r>
  <r>
    <x v="7"/>
    <n v="2409475.4400116"/>
    <x v="0"/>
    <x v="0"/>
    <x v="8"/>
    <s v="Jalisco"/>
  </r>
  <r>
    <x v="8"/>
    <n v="1775670"/>
    <x v="0"/>
    <x v="0"/>
    <x v="8"/>
    <s v="Jalisco"/>
  </r>
  <r>
    <x v="9"/>
    <n v="1018132"/>
    <x v="0"/>
    <x v="0"/>
    <x v="8"/>
    <s v="Jalisco"/>
  </r>
  <r>
    <x v="10"/>
    <n v="1484680.5199999975"/>
    <x v="0"/>
    <x v="0"/>
    <x v="8"/>
    <s v="Jalisco"/>
  </r>
  <r>
    <x v="11"/>
    <n v="4250912.8"/>
    <x v="0"/>
    <x v="0"/>
    <x v="8"/>
    <s v="Jalisco"/>
  </r>
  <r>
    <x v="0"/>
    <n v="5936361.0259295758"/>
    <x v="1"/>
    <x v="0"/>
    <x v="8"/>
    <s v="Jalisco"/>
  </r>
  <r>
    <x v="1"/>
    <n v="2970771.6000000034"/>
    <x v="1"/>
    <x v="0"/>
    <x v="8"/>
    <s v="Jalisco"/>
  </r>
  <r>
    <x v="2"/>
    <n v="1180578.3999999997"/>
    <x v="1"/>
    <x v="0"/>
    <x v="8"/>
    <s v="Jalisco"/>
  </r>
  <r>
    <x v="3"/>
    <n v="306738.80000000005"/>
    <x v="1"/>
    <x v="0"/>
    <x v="8"/>
    <s v="Jalisco"/>
  </r>
  <r>
    <x v="4"/>
    <n v="297493.59999999998"/>
    <x v="1"/>
    <x v="0"/>
    <x v="8"/>
    <s v="Jalisco"/>
  </r>
  <r>
    <x v="0"/>
    <n v="188701.2696"/>
    <x v="0"/>
    <x v="1"/>
    <x v="0"/>
    <s v="Oaxaca"/>
  </r>
  <r>
    <x v="1"/>
    <n v="226963.02360000001"/>
    <x v="0"/>
    <x v="1"/>
    <x v="0"/>
    <s v="Oaxaca"/>
  </r>
  <r>
    <x v="2"/>
    <n v="213680.52000000002"/>
    <x v="0"/>
    <x v="1"/>
    <x v="0"/>
    <s v="Oaxaca"/>
  </r>
  <r>
    <x v="3"/>
    <n v="381381.46840000001"/>
    <x v="0"/>
    <x v="1"/>
    <x v="0"/>
    <s v="Oaxaca"/>
  </r>
  <r>
    <x v="4"/>
    <n v="15836.389599999995"/>
    <x v="0"/>
    <x v="1"/>
    <x v="0"/>
    <s v="Oaxaca"/>
  </r>
  <r>
    <x v="5"/>
    <n v="340532.37239999999"/>
    <x v="0"/>
    <x v="1"/>
    <x v="0"/>
    <s v="Oaxaca"/>
  </r>
  <r>
    <x v="6"/>
    <n v="243457.14599999989"/>
    <x v="0"/>
    <x v="1"/>
    <x v="0"/>
    <s v="Oaxaca"/>
  </r>
  <r>
    <x v="7"/>
    <n v="191801.82400000002"/>
    <x v="0"/>
    <x v="1"/>
    <x v="0"/>
    <s v="Oaxaca"/>
  </r>
  <r>
    <x v="8"/>
    <n v="190647.99520000003"/>
    <x v="0"/>
    <x v="1"/>
    <x v="0"/>
    <s v="Oaxaca"/>
  </r>
  <r>
    <x v="9"/>
    <n v="180715.44"/>
    <x v="0"/>
    <x v="1"/>
    <x v="0"/>
    <s v="Oaxaca"/>
  </r>
  <r>
    <x v="10"/>
    <n v="150975.16000000015"/>
    <x v="0"/>
    <x v="1"/>
    <x v="0"/>
    <s v="Oaxaca"/>
  </r>
  <r>
    <x v="11"/>
    <n v="159784.432"/>
    <x v="0"/>
    <x v="1"/>
    <x v="0"/>
    <s v="Oaxaca"/>
  </r>
  <r>
    <x v="0"/>
    <n v="176794.35"/>
    <x v="1"/>
    <x v="1"/>
    <x v="0"/>
    <s v="Oaxaca"/>
  </r>
  <r>
    <x v="1"/>
    <n v="189379.26839999997"/>
    <x v="1"/>
    <x v="1"/>
    <x v="0"/>
    <s v="Oaxaca"/>
  </r>
  <r>
    <x v="2"/>
    <n v="196286.56959999999"/>
    <x v="1"/>
    <x v="1"/>
    <x v="0"/>
    <s v="Oaxaca"/>
  </r>
  <r>
    <x v="3"/>
    <n v="196528.71959999998"/>
    <x v="1"/>
    <x v="1"/>
    <x v="0"/>
    <s v="Oaxaca"/>
  </r>
  <r>
    <x v="4"/>
    <m/>
    <x v="1"/>
    <x v="1"/>
    <x v="0"/>
    <s v="Oaxaca"/>
  </r>
  <r>
    <x v="0"/>
    <n v="231613.31760000001"/>
    <x v="0"/>
    <x v="1"/>
    <x v="1"/>
    <s v="Campeche"/>
  </r>
  <r>
    <x v="1"/>
    <n v="260136.584"/>
    <x v="0"/>
    <x v="1"/>
    <x v="1"/>
    <s v="Campeche"/>
  </r>
  <r>
    <x v="2"/>
    <n v="290142.9976"/>
    <x v="0"/>
    <x v="1"/>
    <x v="1"/>
    <s v="Campeche"/>
  </r>
  <r>
    <x v="3"/>
    <n v="548745.18000000005"/>
    <x v="0"/>
    <x v="1"/>
    <x v="1"/>
    <s v="Campeche"/>
  </r>
  <r>
    <x v="4"/>
    <n v="6145.158000000054"/>
    <x v="0"/>
    <x v="1"/>
    <x v="1"/>
    <s v="Campeche"/>
  </r>
  <r>
    <x v="5"/>
    <n v="482865.30039999995"/>
    <x v="0"/>
    <x v="1"/>
    <x v="1"/>
    <s v="Campeche"/>
  </r>
  <r>
    <x v="6"/>
    <n v="329174.00039999984"/>
    <x v="0"/>
    <x v="1"/>
    <x v="1"/>
    <s v="Campeche"/>
  </r>
  <r>
    <x v="7"/>
    <n v="295318.25200000004"/>
    <x v="0"/>
    <x v="1"/>
    <x v="1"/>
    <s v="Campeche"/>
  </r>
  <r>
    <x v="8"/>
    <n v="282610.45199999982"/>
    <x v="0"/>
    <x v="1"/>
    <x v="1"/>
    <s v="Campeche"/>
  </r>
  <r>
    <x v="9"/>
    <n v="286355.28999999998"/>
    <x v="0"/>
    <x v="1"/>
    <x v="1"/>
    <s v="Campeche"/>
  </r>
  <r>
    <x v="10"/>
    <n v="264101.07439999992"/>
    <x v="0"/>
    <x v="1"/>
    <x v="1"/>
    <s v="Campeche"/>
  </r>
  <r>
    <x v="11"/>
    <n v="238211.24319999997"/>
    <x v="0"/>
    <x v="1"/>
    <x v="1"/>
    <s v="Campeche"/>
  </r>
  <r>
    <x v="0"/>
    <n v="269377.83"/>
    <x v="1"/>
    <x v="1"/>
    <x v="1"/>
    <s v="Campeche"/>
  </r>
  <r>
    <x v="1"/>
    <n v="336578.59360000002"/>
    <x v="1"/>
    <x v="1"/>
    <x v="1"/>
    <s v="Campeche"/>
  </r>
  <r>
    <x v="2"/>
    <n v="342118.39399999951"/>
    <x v="1"/>
    <x v="1"/>
    <x v="1"/>
    <s v="Campeche"/>
  </r>
  <r>
    <x v="3"/>
    <n v="348534.87599999999"/>
    <x v="1"/>
    <x v="1"/>
    <x v="1"/>
    <s v="Campeche"/>
  </r>
  <r>
    <x v="4"/>
    <m/>
    <x v="1"/>
    <x v="1"/>
    <x v="1"/>
    <s v="Campeche"/>
  </r>
  <r>
    <x v="0"/>
    <n v="348275.94"/>
    <x v="0"/>
    <x v="1"/>
    <x v="2"/>
    <s v="Guerrero"/>
  </r>
  <r>
    <x v="1"/>
    <n v="400136.87"/>
    <x v="0"/>
    <x v="1"/>
    <x v="2"/>
    <s v="Guerrero"/>
  </r>
  <r>
    <x v="2"/>
    <n v="487693.77"/>
    <x v="0"/>
    <x v="1"/>
    <x v="2"/>
    <s v="Guerrero"/>
  </r>
  <r>
    <x v="3"/>
    <n v="848044.32"/>
    <x v="0"/>
    <x v="1"/>
    <x v="2"/>
    <s v="Guerrero"/>
  </r>
  <r>
    <x v="4"/>
    <n v="135803.92600000004"/>
    <x v="0"/>
    <x v="1"/>
    <x v="2"/>
    <s v="Guerrero"/>
  </r>
  <r>
    <x v="5"/>
    <n v="808410.05520000006"/>
    <x v="0"/>
    <x v="1"/>
    <x v="2"/>
    <s v="Guerrero"/>
  </r>
  <r>
    <x v="6"/>
    <n v="438614.0148"/>
    <x v="0"/>
    <x v="1"/>
    <x v="2"/>
    <s v="Guerrero"/>
  </r>
  <r>
    <x v="7"/>
    <n v="480979.50000000041"/>
    <x v="0"/>
    <x v="1"/>
    <x v="2"/>
    <s v="Guerrero"/>
  </r>
  <r>
    <x v="8"/>
    <n v="368779.19599999994"/>
    <x v="0"/>
    <x v="1"/>
    <x v="2"/>
    <s v="Guerrero"/>
  </r>
  <r>
    <x v="9"/>
    <n v="436865.34"/>
    <x v="0"/>
    <x v="1"/>
    <x v="2"/>
    <s v="Guerrero"/>
  </r>
  <r>
    <x v="10"/>
    <n v="426340.05479999969"/>
    <x v="0"/>
    <x v="1"/>
    <x v="2"/>
    <s v="Guerrero"/>
  </r>
  <r>
    <x v="11"/>
    <n v="344633.4596"/>
    <x v="0"/>
    <x v="1"/>
    <x v="2"/>
    <s v="Guerrero"/>
  </r>
  <r>
    <x v="0"/>
    <n v="385621.47000000009"/>
    <x v="1"/>
    <x v="1"/>
    <x v="2"/>
    <s v="Guerrero"/>
  </r>
  <r>
    <x v="1"/>
    <n v="452529.44439999992"/>
    <x v="1"/>
    <x v="1"/>
    <x v="2"/>
    <s v="Guerrero"/>
  </r>
  <r>
    <x v="2"/>
    <n v="441318.17199999827"/>
    <x v="1"/>
    <x v="1"/>
    <x v="2"/>
    <s v="Guerrero"/>
  </r>
  <r>
    <x v="3"/>
    <n v="407769.06960000005"/>
    <x v="1"/>
    <x v="1"/>
    <x v="2"/>
    <s v="Guerrero"/>
  </r>
  <r>
    <x v="4"/>
    <m/>
    <x v="1"/>
    <x v="1"/>
    <x v="2"/>
    <s v="Guerrero"/>
  </r>
  <r>
    <x v="0"/>
    <n v="525965.78"/>
    <x v="0"/>
    <x v="1"/>
    <x v="3"/>
    <s v="Yucatán"/>
  </r>
  <r>
    <x v="1"/>
    <n v="589629.31999999995"/>
    <x v="0"/>
    <x v="1"/>
    <x v="3"/>
    <s v="Yucatán"/>
  </r>
  <r>
    <x v="2"/>
    <n v="695974.76"/>
    <x v="0"/>
    <x v="1"/>
    <x v="3"/>
    <s v="Yucatán"/>
  </r>
  <r>
    <x v="3"/>
    <n v="1282486.1700000002"/>
    <x v="0"/>
    <x v="1"/>
    <x v="3"/>
    <s v="Yucatán"/>
  </r>
  <r>
    <x v="4"/>
    <n v="-89141.174399999902"/>
    <x v="0"/>
    <x v="1"/>
    <x v="3"/>
    <s v="Yucatán"/>
  </r>
  <r>
    <x v="5"/>
    <n v="1350939.8512000002"/>
    <x v="0"/>
    <x v="1"/>
    <x v="3"/>
    <s v="Yucatán"/>
  </r>
  <r>
    <x v="6"/>
    <n v="625303.5564"/>
    <x v="0"/>
    <x v="1"/>
    <x v="3"/>
    <s v="Yucatán"/>
  </r>
  <r>
    <x v="7"/>
    <n v="623128.63760000048"/>
    <x v="0"/>
    <x v="1"/>
    <x v="3"/>
    <s v="Yucatán"/>
  </r>
  <r>
    <x v="8"/>
    <n v="606661.56760000018"/>
    <x v="0"/>
    <x v="1"/>
    <x v="3"/>
    <s v="Yucatán"/>
  </r>
  <r>
    <x v="9"/>
    <n v="618847.1"/>
    <x v="0"/>
    <x v="1"/>
    <x v="3"/>
    <s v="Yucatán"/>
  </r>
  <r>
    <x v="10"/>
    <n v="706343.42999999947"/>
    <x v="0"/>
    <x v="1"/>
    <x v="3"/>
    <s v="Yucatán"/>
  </r>
  <r>
    <x v="11"/>
    <n v="503883.59560000006"/>
    <x v="0"/>
    <x v="1"/>
    <x v="3"/>
    <s v="Yucatán"/>
  </r>
  <r>
    <x v="0"/>
    <n v="456483.81000000006"/>
    <x v="1"/>
    <x v="1"/>
    <x v="3"/>
    <s v="Yucatán"/>
  </r>
  <r>
    <x v="1"/>
    <n v="655351.21039999987"/>
    <x v="1"/>
    <x v="1"/>
    <x v="3"/>
    <s v="Yucatán"/>
  </r>
  <r>
    <x v="2"/>
    <n v="643269.74079999828"/>
    <x v="1"/>
    <x v="1"/>
    <x v="3"/>
    <s v="Yucatán"/>
  </r>
  <r>
    <x v="3"/>
    <n v="664881.61960000009"/>
    <x v="1"/>
    <x v="1"/>
    <x v="3"/>
    <s v="Yucatán"/>
  </r>
  <r>
    <x v="4"/>
    <m/>
    <x v="1"/>
    <x v="1"/>
    <x v="3"/>
    <s v="Yucatán"/>
  </r>
  <r>
    <x v="0"/>
    <n v="368146.33"/>
    <x v="0"/>
    <x v="1"/>
    <x v="4"/>
    <s v="Veracruz"/>
  </r>
  <r>
    <x v="1"/>
    <n v="411147.35"/>
    <x v="0"/>
    <x v="1"/>
    <x v="4"/>
    <s v="Veracruz"/>
  </r>
  <r>
    <x v="2"/>
    <n v="464100.82"/>
    <x v="0"/>
    <x v="1"/>
    <x v="4"/>
    <s v="Veracruz"/>
  </r>
  <r>
    <x v="3"/>
    <n v="863799.13"/>
    <x v="0"/>
    <x v="1"/>
    <x v="4"/>
    <s v="Veracruz"/>
  </r>
  <r>
    <x v="4"/>
    <n v="17669.734799999977"/>
    <x v="0"/>
    <x v="1"/>
    <x v="4"/>
    <s v="Veracruz"/>
  </r>
  <r>
    <x v="5"/>
    <n v="863781.32120000012"/>
    <x v="0"/>
    <x v="1"/>
    <x v="4"/>
    <s v="Veracruz"/>
  </r>
  <r>
    <x v="6"/>
    <n v="447461.20720000006"/>
    <x v="0"/>
    <x v="1"/>
    <x v="4"/>
    <s v="Veracruz"/>
  </r>
  <r>
    <x v="7"/>
    <n v="450700.5652000003"/>
    <x v="0"/>
    <x v="1"/>
    <x v="4"/>
    <s v="Veracruz"/>
  </r>
  <r>
    <x v="8"/>
    <n v="424377.0796"/>
    <x v="0"/>
    <x v="1"/>
    <x v="4"/>
    <s v="Veracruz"/>
  </r>
  <r>
    <x v="9"/>
    <n v="448495.2"/>
    <x v="0"/>
    <x v="1"/>
    <x v="4"/>
    <s v="Veracruz"/>
  </r>
  <r>
    <x v="10"/>
    <n v="405048.99719999969"/>
    <x v="0"/>
    <x v="1"/>
    <x v="4"/>
    <s v="Veracruz"/>
  </r>
  <r>
    <x v="11"/>
    <n v="367659.43639999995"/>
    <x v="0"/>
    <x v="1"/>
    <x v="4"/>
    <s v="Veracruz"/>
  </r>
  <r>
    <x v="0"/>
    <n v="418626.23000000004"/>
    <x v="1"/>
    <x v="1"/>
    <x v="4"/>
    <s v="Veracruz"/>
  </r>
  <r>
    <x v="1"/>
    <n v="448260.04119999992"/>
    <x v="1"/>
    <x v="1"/>
    <x v="4"/>
    <s v="Veracruz"/>
  </r>
  <r>
    <x v="2"/>
    <n v="478276.01559999835"/>
    <x v="1"/>
    <x v="1"/>
    <x v="4"/>
    <s v="Veracruz"/>
  </r>
  <r>
    <x v="3"/>
    <n v="455019.30320000002"/>
    <x v="1"/>
    <x v="1"/>
    <x v="4"/>
    <s v="Veracruz"/>
  </r>
  <r>
    <x v="4"/>
    <m/>
    <x v="1"/>
    <x v="1"/>
    <x v="4"/>
    <s v="Veracruz"/>
  </r>
  <r>
    <x v="0"/>
    <n v="0"/>
    <x v="0"/>
    <x v="1"/>
    <x v="5"/>
    <s v="Nuevo León"/>
  </r>
  <r>
    <x v="1"/>
    <n v="0"/>
    <x v="0"/>
    <x v="1"/>
    <x v="5"/>
    <s v="Nuevo León"/>
  </r>
  <r>
    <x v="2"/>
    <n v="0"/>
    <x v="0"/>
    <x v="1"/>
    <x v="5"/>
    <s v="Nuevo León"/>
  </r>
  <r>
    <x v="3"/>
    <n v="0"/>
    <x v="0"/>
    <x v="1"/>
    <x v="5"/>
    <s v="Nuevo León"/>
  </r>
  <r>
    <x v="4"/>
    <n v="0"/>
    <x v="0"/>
    <x v="1"/>
    <x v="5"/>
    <s v="Nuevo León"/>
  </r>
  <r>
    <x v="5"/>
    <n v="0"/>
    <x v="0"/>
    <x v="1"/>
    <x v="5"/>
    <s v="Nuevo León"/>
  </r>
  <r>
    <x v="6"/>
    <n v="0"/>
    <x v="0"/>
    <x v="1"/>
    <x v="5"/>
    <s v="Nuevo León"/>
  </r>
  <r>
    <x v="7"/>
    <n v="0"/>
    <x v="0"/>
    <x v="1"/>
    <x v="5"/>
    <s v="Nuevo León"/>
  </r>
  <r>
    <x v="8"/>
    <n v="0"/>
    <x v="0"/>
    <x v="1"/>
    <x v="5"/>
    <s v="Nuevo León"/>
  </r>
  <r>
    <x v="9"/>
    <n v="0"/>
    <x v="0"/>
    <x v="1"/>
    <x v="5"/>
    <s v="Nuevo León"/>
  </r>
  <r>
    <x v="10"/>
    <n v="0"/>
    <x v="0"/>
    <x v="1"/>
    <x v="5"/>
    <s v="Nuevo León"/>
  </r>
  <r>
    <x v="11"/>
    <n v="0"/>
    <x v="0"/>
    <x v="1"/>
    <x v="5"/>
    <s v="Nuevo León"/>
  </r>
  <r>
    <x v="0"/>
    <n v="0"/>
    <x v="1"/>
    <x v="1"/>
    <x v="5"/>
    <s v="Nuevo León"/>
  </r>
  <r>
    <x v="1"/>
    <n v="0"/>
    <x v="1"/>
    <x v="1"/>
    <x v="5"/>
    <s v="Nuevo León"/>
  </r>
  <r>
    <x v="2"/>
    <n v="0"/>
    <x v="1"/>
    <x v="1"/>
    <x v="5"/>
    <s v="Nuevo León"/>
  </r>
  <r>
    <x v="3"/>
    <n v="0"/>
    <x v="1"/>
    <x v="1"/>
    <x v="5"/>
    <s v="Nuevo León"/>
  </r>
  <r>
    <x v="4"/>
    <m/>
    <x v="1"/>
    <x v="1"/>
    <x v="5"/>
    <s v="Nuevo León"/>
  </r>
  <r>
    <x v="0"/>
    <n v="969643.3"/>
    <x v="0"/>
    <x v="1"/>
    <x v="6"/>
    <s v="Quintana Roo"/>
  </r>
  <r>
    <x v="1"/>
    <n v="1160857.3500000001"/>
    <x v="0"/>
    <x v="1"/>
    <x v="6"/>
    <s v="Quintana Roo"/>
  </r>
  <r>
    <x v="2"/>
    <n v="1321910.72"/>
    <x v="0"/>
    <x v="1"/>
    <x v="6"/>
    <s v="Quintana Roo"/>
  </r>
  <r>
    <x v="3"/>
    <n v="2523233.42"/>
    <x v="0"/>
    <x v="1"/>
    <x v="6"/>
    <s v="Quintana Roo"/>
  </r>
  <r>
    <x v="4"/>
    <n v="6223.3999999999069"/>
    <x v="0"/>
    <x v="1"/>
    <x v="6"/>
    <s v="Quintana Roo"/>
  </r>
  <r>
    <x v="5"/>
    <n v="2459025.1995999999"/>
    <x v="0"/>
    <x v="1"/>
    <x v="6"/>
    <s v="Quintana Roo"/>
  </r>
  <r>
    <x v="6"/>
    <n v="1628252.5715999994"/>
    <x v="0"/>
    <x v="1"/>
    <x v="6"/>
    <s v="Quintana Roo"/>
  </r>
  <r>
    <x v="7"/>
    <n v="1367360.8575999995"/>
    <x v="0"/>
    <x v="1"/>
    <x v="6"/>
    <s v="Quintana Roo"/>
  </r>
  <r>
    <x v="8"/>
    <n v="1265533.3779999991"/>
    <x v="0"/>
    <x v="1"/>
    <x v="6"/>
    <s v="Quintana Roo"/>
  </r>
  <r>
    <x v="9"/>
    <n v="1310826.8999999999"/>
    <x v="0"/>
    <x v="1"/>
    <x v="6"/>
    <s v="Quintana Roo"/>
  </r>
  <r>
    <x v="10"/>
    <n v="2398265.9888000004"/>
    <x v="0"/>
    <x v="1"/>
    <x v="6"/>
    <s v="Quintana Roo"/>
  </r>
  <r>
    <x v="11"/>
    <n v="1166177.0811999999"/>
    <x v="0"/>
    <x v="1"/>
    <x v="6"/>
    <s v="Quintana Roo"/>
  </r>
  <r>
    <x v="0"/>
    <n v="1101980.4900000002"/>
    <x v="1"/>
    <x v="1"/>
    <x v="6"/>
    <s v="Quintana Roo"/>
  </r>
  <r>
    <x v="1"/>
    <n v="1490255.3983999998"/>
    <x v="1"/>
    <x v="1"/>
    <x v="6"/>
    <s v="Quintana Roo"/>
  </r>
  <r>
    <x v="2"/>
    <n v="1600163.6243999931"/>
    <x v="1"/>
    <x v="1"/>
    <x v="6"/>
    <s v="Quintana Roo"/>
  </r>
  <r>
    <x v="3"/>
    <n v="1671891.3887999998"/>
    <x v="1"/>
    <x v="1"/>
    <x v="6"/>
    <s v="Quintana Roo"/>
  </r>
  <r>
    <x v="4"/>
    <m/>
    <x v="1"/>
    <x v="1"/>
    <x v="6"/>
    <s v="Quintana Roo"/>
  </r>
  <r>
    <x v="0"/>
    <n v="8011715.8991999999"/>
    <x v="0"/>
    <x v="1"/>
    <x v="7"/>
    <s v="CDMX"/>
  </r>
  <r>
    <x v="1"/>
    <n v="5927290.4899999993"/>
    <x v="0"/>
    <x v="1"/>
    <x v="7"/>
    <s v="CDMX"/>
  </r>
  <r>
    <x v="2"/>
    <n v="2700437.77"/>
    <x v="0"/>
    <x v="1"/>
    <x v="7"/>
    <s v="CDMX"/>
  </r>
  <r>
    <x v="3"/>
    <n v="5130770.9899999993"/>
    <x v="0"/>
    <x v="1"/>
    <x v="7"/>
    <s v="CDMX"/>
  </r>
  <r>
    <x v="4"/>
    <n v="100764.11920000068"/>
    <x v="0"/>
    <x v="1"/>
    <x v="7"/>
    <s v="CDMX"/>
  </r>
  <r>
    <x v="5"/>
    <n v="4675857.7576000001"/>
    <x v="0"/>
    <x v="1"/>
    <x v="7"/>
    <s v="CDMX"/>
  </r>
  <r>
    <x v="6"/>
    <n v="2763096.3011999978"/>
    <x v="0"/>
    <x v="1"/>
    <x v="7"/>
    <s v="CDMX"/>
  </r>
  <r>
    <x v="7"/>
    <n v="2766562.1956000007"/>
    <x v="0"/>
    <x v="1"/>
    <x v="7"/>
    <s v="CDMX"/>
  </r>
  <r>
    <x v="8"/>
    <n v="3523536.9923999924"/>
    <x v="0"/>
    <x v="1"/>
    <x v="7"/>
    <s v="CDMX"/>
  </r>
  <r>
    <x v="9"/>
    <n v="2522795.7499999995"/>
    <x v="0"/>
    <x v="1"/>
    <x v="7"/>
    <s v="CDMX"/>
  </r>
  <r>
    <x v="10"/>
    <n v="2338182.7447999991"/>
    <x v="0"/>
    <x v="1"/>
    <x v="7"/>
    <s v="CDMX"/>
  </r>
  <r>
    <x v="11"/>
    <n v="2968618.2456"/>
    <x v="0"/>
    <x v="1"/>
    <x v="7"/>
    <s v="CDMX"/>
  </r>
  <r>
    <x v="0"/>
    <n v="5829997.4799999995"/>
    <x v="1"/>
    <x v="1"/>
    <x v="7"/>
    <s v="CDMX"/>
  </r>
  <r>
    <x v="1"/>
    <n v="2591746.5300000003"/>
    <x v="1"/>
    <x v="1"/>
    <x v="7"/>
    <s v="CDMX"/>
  </r>
  <r>
    <x v="2"/>
    <n v="2453115.4700000011"/>
    <x v="1"/>
    <x v="1"/>
    <x v="7"/>
    <s v="CDMX"/>
  </r>
  <r>
    <x v="3"/>
    <n v="2463749.0288"/>
    <x v="1"/>
    <x v="1"/>
    <x v="7"/>
    <s v="CDMX"/>
  </r>
  <r>
    <x v="4"/>
    <m/>
    <x v="1"/>
    <x v="1"/>
    <x v="7"/>
    <s v="CDMX"/>
  </r>
  <r>
    <x v="0"/>
    <n v="0"/>
    <x v="0"/>
    <x v="1"/>
    <x v="8"/>
    <s v="Jalisco"/>
  </r>
  <r>
    <x v="1"/>
    <n v="0"/>
    <x v="0"/>
    <x v="1"/>
    <x v="8"/>
    <s v="Jalisco"/>
  </r>
  <r>
    <x v="2"/>
    <n v="0"/>
    <x v="0"/>
    <x v="1"/>
    <x v="8"/>
    <s v="Jalisco"/>
  </r>
  <r>
    <x v="3"/>
    <n v="0"/>
    <x v="0"/>
    <x v="1"/>
    <x v="8"/>
    <s v="Jalisco"/>
  </r>
  <r>
    <x v="4"/>
    <n v="0"/>
    <x v="0"/>
    <x v="1"/>
    <x v="8"/>
    <s v="Jalisco"/>
  </r>
  <r>
    <x v="5"/>
    <n v="0"/>
    <x v="0"/>
    <x v="1"/>
    <x v="8"/>
    <s v="Jalisco"/>
  </r>
  <r>
    <x v="6"/>
    <n v="0"/>
    <x v="0"/>
    <x v="1"/>
    <x v="8"/>
    <s v="Jalisco"/>
  </r>
  <r>
    <x v="7"/>
    <n v="0"/>
    <x v="0"/>
    <x v="1"/>
    <x v="8"/>
    <s v="Jalisco"/>
  </r>
  <r>
    <x v="8"/>
    <n v="0"/>
    <x v="0"/>
    <x v="1"/>
    <x v="8"/>
    <s v="Jalisco"/>
  </r>
  <r>
    <x v="9"/>
    <n v="0"/>
    <x v="0"/>
    <x v="1"/>
    <x v="8"/>
    <s v="Jalisco"/>
  </r>
  <r>
    <x v="10"/>
    <n v="0"/>
    <x v="0"/>
    <x v="1"/>
    <x v="8"/>
    <s v="Jalisco"/>
  </r>
  <r>
    <x v="11"/>
    <n v="0"/>
    <x v="0"/>
    <x v="1"/>
    <x v="8"/>
    <s v="Jalisco"/>
  </r>
  <r>
    <x v="0"/>
    <n v="0"/>
    <x v="1"/>
    <x v="1"/>
    <x v="8"/>
    <s v="Jalisco"/>
  </r>
  <r>
    <x v="1"/>
    <n v="0"/>
    <x v="1"/>
    <x v="1"/>
    <x v="8"/>
    <s v="Jalisco"/>
  </r>
  <r>
    <x v="2"/>
    <n v="0"/>
    <x v="1"/>
    <x v="1"/>
    <x v="8"/>
    <s v="Jalisco"/>
  </r>
  <r>
    <x v="3"/>
    <n v="0"/>
    <x v="1"/>
    <x v="1"/>
    <x v="8"/>
    <s v="Jalisco"/>
  </r>
  <r>
    <x v="4"/>
    <m/>
    <x v="1"/>
    <x v="1"/>
    <x v="8"/>
    <s v="Jalisco"/>
  </r>
  <r>
    <x v="0"/>
    <n v="249090.27999999997"/>
    <x v="0"/>
    <x v="2"/>
    <x v="0"/>
    <s v="Oaxaca"/>
  </r>
  <r>
    <x v="1"/>
    <n v="396337.19640000002"/>
    <x v="0"/>
    <x v="2"/>
    <x v="0"/>
    <s v="Oaxaca"/>
  </r>
  <r>
    <x v="2"/>
    <n v="404756.48000000004"/>
    <x v="0"/>
    <x v="2"/>
    <x v="0"/>
    <s v="Oaxaca"/>
  </r>
  <r>
    <x v="3"/>
    <n v="322984.60000000003"/>
    <x v="0"/>
    <x v="2"/>
    <x v="0"/>
    <s v="Oaxaca"/>
  </r>
  <r>
    <x v="4"/>
    <n v="291997.52040000004"/>
    <x v="0"/>
    <x v="2"/>
    <x v="0"/>
    <s v="Oaxaca"/>
  </r>
  <r>
    <x v="5"/>
    <n v="277127.48000000278"/>
    <x v="0"/>
    <x v="2"/>
    <x v="0"/>
    <s v="Oaxaca"/>
  </r>
  <r>
    <x v="6"/>
    <n v="343325.20000000118"/>
    <x v="0"/>
    <x v="2"/>
    <x v="0"/>
    <s v="Oaxaca"/>
  </r>
  <r>
    <x v="7"/>
    <n v="489265.96000000398"/>
    <x v="0"/>
    <x v="2"/>
    <x v="0"/>
    <s v="Oaxaca"/>
  </r>
  <r>
    <x v="8"/>
    <n v="398362.56000000256"/>
    <x v="0"/>
    <x v="2"/>
    <x v="0"/>
    <s v="Oaxaca"/>
  </r>
  <r>
    <x v="9"/>
    <n v="343514.28000000177"/>
    <x v="0"/>
    <x v="2"/>
    <x v="0"/>
    <s v="Oaxaca"/>
  </r>
  <r>
    <x v="10"/>
    <n v="333132.28000000323"/>
    <x v="0"/>
    <x v="2"/>
    <x v="0"/>
    <s v="Oaxaca"/>
  </r>
  <r>
    <x v="11"/>
    <n v="332142.80000000168"/>
    <x v="0"/>
    <x v="2"/>
    <x v="0"/>
    <s v="Oaxaca"/>
  </r>
  <r>
    <x v="0"/>
    <n v="290018.56000000093"/>
    <x v="1"/>
    <x v="2"/>
    <x v="0"/>
    <s v="Oaxaca"/>
  </r>
  <r>
    <x v="1"/>
    <n v="315836.6800000004"/>
    <x v="1"/>
    <x v="2"/>
    <x v="0"/>
    <s v="Oaxaca"/>
  </r>
  <r>
    <x v="2"/>
    <n v="347919.95999999985"/>
    <x v="1"/>
    <x v="2"/>
    <x v="0"/>
    <s v="Oaxaca"/>
  </r>
  <r>
    <x v="3"/>
    <n v="420454.9224000051"/>
    <x v="1"/>
    <x v="2"/>
    <x v="0"/>
    <s v="Oaxaca"/>
  </r>
  <r>
    <x v="4"/>
    <n v="281705.99999999994"/>
    <x v="1"/>
    <x v="2"/>
    <x v="0"/>
    <s v="Oaxaca"/>
  </r>
  <r>
    <x v="0"/>
    <n v="190214.92"/>
    <x v="0"/>
    <x v="2"/>
    <x v="1"/>
    <s v="Campeche"/>
  </r>
  <r>
    <x v="1"/>
    <n v="322743.15000000002"/>
    <x v="0"/>
    <x v="2"/>
    <x v="1"/>
    <s v="Campeche"/>
  </r>
  <r>
    <x v="2"/>
    <n v="347345.37000000011"/>
    <x v="0"/>
    <x v="2"/>
    <x v="1"/>
    <s v="Campeche"/>
  </r>
  <r>
    <x v="3"/>
    <n v="192448.25999999989"/>
    <x v="0"/>
    <x v="2"/>
    <x v="1"/>
    <s v="Campeche"/>
  </r>
  <r>
    <x v="4"/>
    <n v="229181.33199999994"/>
    <x v="0"/>
    <x v="2"/>
    <x v="1"/>
    <s v="Campeche"/>
  </r>
  <r>
    <x v="5"/>
    <n v="316773.57719999948"/>
    <x v="0"/>
    <x v="2"/>
    <x v="1"/>
    <s v="Campeche"/>
  </r>
  <r>
    <x v="6"/>
    <n v="324536.48279999848"/>
    <x v="0"/>
    <x v="2"/>
    <x v="1"/>
    <s v="Campeche"/>
  </r>
  <r>
    <x v="7"/>
    <n v="422614.69159999792"/>
    <x v="0"/>
    <x v="2"/>
    <x v="1"/>
    <s v="Campeche"/>
  </r>
  <r>
    <x v="8"/>
    <n v="384783.68120000145"/>
    <x v="0"/>
    <x v="2"/>
    <x v="1"/>
    <s v="Campeche"/>
  </r>
  <r>
    <x v="9"/>
    <n v="210980.45200000002"/>
    <x v="0"/>
    <x v="2"/>
    <x v="1"/>
    <s v="Campeche"/>
  </r>
  <r>
    <x v="10"/>
    <n v="293474.80319999979"/>
    <x v="0"/>
    <x v="2"/>
    <x v="1"/>
    <s v="Campeche"/>
  </r>
  <r>
    <x v="11"/>
    <n v="320533.83320000034"/>
    <x v="0"/>
    <x v="2"/>
    <x v="1"/>
    <s v="Campeche"/>
  </r>
  <r>
    <x v="0"/>
    <n v="272528.52079999476"/>
    <x v="1"/>
    <x v="2"/>
    <x v="1"/>
    <s v="Campeche"/>
  </r>
  <r>
    <x v="1"/>
    <n v="371991.11999999691"/>
    <x v="1"/>
    <x v="2"/>
    <x v="1"/>
    <s v="Campeche"/>
  </r>
  <r>
    <x v="2"/>
    <n v="334562.55999999738"/>
    <x v="1"/>
    <x v="2"/>
    <x v="1"/>
    <s v="Campeche"/>
  </r>
  <r>
    <x v="3"/>
    <n v="928750.5200000247"/>
    <x v="1"/>
    <x v="2"/>
    <x v="1"/>
    <s v="Campeche"/>
  </r>
  <r>
    <x v="4"/>
    <n v="396855.70839999756"/>
    <x v="1"/>
    <x v="2"/>
    <x v="1"/>
    <s v="Campeche"/>
  </r>
  <r>
    <x v="0"/>
    <n v="288253.04000000004"/>
    <x v="0"/>
    <x v="2"/>
    <x v="2"/>
    <s v="Guerrero"/>
  </r>
  <r>
    <x v="1"/>
    <n v="315951.33000000013"/>
    <x v="0"/>
    <x v="2"/>
    <x v="2"/>
    <s v="Guerrero"/>
  </r>
  <r>
    <x v="2"/>
    <n v="355311.48000000004"/>
    <x v="0"/>
    <x v="2"/>
    <x v="2"/>
    <s v="Guerrero"/>
  </r>
  <r>
    <x v="3"/>
    <n v="311099.81999999995"/>
    <x v="0"/>
    <x v="2"/>
    <x v="2"/>
    <s v="Guerrero"/>
  </r>
  <r>
    <x v="4"/>
    <n v="243924.22400000005"/>
    <x v="0"/>
    <x v="2"/>
    <x v="2"/>
    <s v="Guerrero"/>
  </r>
  <r>
    <x v="5"/>
    <n v="281956.55999999965"/>
    <x v="0"/>
    <x v="2"/>
    <x v="2"/>
    <s v="Guerrero"/>
  </r>
  <r>
    <x v="6"/>
    <n v="390993.65999999712"/>
    <x v="0"/>
    <x v="2"/>
    <x v="2"/>
    <s v="Guerrero"/>
  </r>
  <r>
    <x v="7"/>
    <n v="513736.15999999637"/>
    <x v="0"/>
    <x v="2"/>
    <x v="2"/>
    <s v="Guerrero"/>
  </r>
  <r>
    <x v="8"/>
    <n v="356233.6799999958"/>
    <x v="0"/>
    <x v="2"/>
    <x v="2"/>
    <s v="Guerrero"/>
  </r>
  <r>
    <x v="9"/>
    <n v="429839.15999999637"/>
    <x v="0"/>
    <x v="2"/>
    <x v="2"/>
    <s v="Guerrero"/>
  </r>
  <r>
    <x v="10"/>
    <n v="443910.53999998647"/>
    <x v="0"/>
    <x v="2"/>
    <x v="2"/>
    <s v="Guerrero"/>
  </r>
  <r>
    <x v="11"/>
    <n v="446777.4799999987"/>
    <x v="0"/>
    <x v="2"/>
    <x v="2"/>
    <s v="Guerrero"/>
  </r>
  <r>
    <x v="0"/>
    <n v="440268.71999999491"/>
    <x v="1"/>
    <x v="2"/>
    <x v="2"/>
    <s v="Guerrero"/>
  </r>
  <r>
    <x v="1"/>
    <n v="447073.27999999392"/>
    <x v="1"/>
    <x v="2"/>
    <x v="2"/>
    <s v="Guerrero"/>
  </r>
  <r>
    <x v="2"/>
    <n v="510054.31999999366"/>
    <x v="1"/>
    <x v="2"/>
    <x v="2"/>
    <s v="Guerrero"/>
  </r>
  <r>
    <x v="3"/>
    <n v="511038.00000000629"/>
    <x v="1"/>
    <x v="2"/>
    <x v="2"/>
    <s v="Guerrero"/>
  </r>
  <r>
    <x v="4"/>
    <n v="413671.07999999466"/>
    <x v="1"/>
    <x v="2"/>
    <x v="2"/>
    <s v="Guerrero"/>
  </r>
  <r>
    <x v="0"/>
    <n v="713798"/>
    <x v="0"/>
    <x v="2"/>
    <x v="3"/>
    <s v="Yucatán"/>
  </r>
  <r>
    <x v="1"/>
    <n v="910574.62999999989"/>
    <x v="0"/>
    <x v="2"/>
    <x v="3"/>
    <s v="Yucatán"/>
  </r>
  <r>
    <x v="2"/>
    <n v="1174987.3699999996"/>
    <x v="0"/>
    <x v="2"/>
    <x v="3"/>
    <s v="Yucatán"/>
  </r>
  <r>
    <x v="3"/>
    <n v="1029312.0799999998"/>
    <x v="0"/>
    <x v="2"/>
    <x v="3"/>
    <s v="Yucatán"/>
  </r>
  <r>
    <x v="4"/>
    <n v="1136810.6743999999"/>
    <x v="0"/>
    <x v="2"/>
    <x v="3"/>
    <s v="Yucatán"/>
  </r>
  <r>
    <x v="5"/>
    <n v="1350911.7443999301"/>
    <x v="0"/>
    <x v="2"/>
    <x v="3"/>
    <s v="Yucatán"/>
  </r>
  <r>
    <x v="6"/>
    <n v="1380009.3699999179"/>
    <x v="0"/>
    <x v="2"/>
    <x v="3"/>
    <s v="Yucatán"/>
  </r>
  <r>
    <x v="7"/>
    <n v="1390789.4355999099"/>
    <x v="0"/>
    <x v="2"/>
    <x v="3"/>
    <s v="Yucatán"/>
  </r>
  <r>
    <x v="8"/>
    <n v="1265446.412799984"/>
    <x v="0"/>
    <x v="2"/>
    <x v="3"/>
    <s v="Yucatán"/>
  </r>
  <r>
    <x v="9"/>
    <n v="1294847.5639999676"/>
    <x v="0"/>
    <x v="2"/>
    <x v="3"/>
    <s v="Yucatán"/>
  </r>
  <r>
    <x v="10"/>
    <n v="1079626.8711999881"/>
    <x v="0"/>
    <x v="2"/>
    <x v="3"/>
    <s v="Yucatán"/>
  </r>
  <r>
    <x v="11"/>
    <n v="1436311.199599992"/>
    <x v="0"/>
    <x v="2"/>
    <x v="3"/>
    <s v="Yucatán"/>
  </r>
  <r>
    <x v="0"/>
    <n v="1148076.5803999756"/>
    <x v="1"/>
    <x v="2"/>
    <x v="3"/>
    <s v="Yucatán"/>
  </r>
  <r>
    <x v="1"/>
    <n v="1210657.1999999222"/>
    <x v="1"/>
    <x v="2"/>
    <x v="3"/>
    <s v="Yucatán"/>
  </r>
  <r>
    <x v="2"/>
    <n v="1298959.8799999389"/>
    <x v="1"/>
    <x v="2"/>
    <x v="3"/>
    <s v="Yucatán"/>
  </r>
  <r>
    <x v="3"/>
    <n v="1429204.679999901"/>
    <x v="1"/>
    <x v="2"/>
    <x v="3"/>
    <s v="Yucatán"/>
  </r>
  <r>
    <x v="4"/>
    <n v="805900.70839999057"/>
    <x v="1"/>
    <x v="2"/>
    <x v="3"/>
    <s v="Yucatán"/>
  </r>
  <r>
    <x v="0"/>
    <n v="1017337.6999999997"/>
    <x v="0"/>
    <x v="2"/>
    <x v="4"/>
    <s v="Veracruz"/>
  </r>
  <r>
    <x v="1"/>
    <n v="1438753.71"/>
    <x v="0"/>
    <x v="2"/>
    <x v="4"/>
    <s v="Veracruz"/>
  </r>
  <r>
    <x v="2"/>
    <n v="899281.87999999989"/>
    <x v="0"/>
    <x v="2"/>
    <x v="4"/>
    <s v="Veracruz"/>
  </r>
  <r>
    <x v="3"/>
    <n v="971814.35999999987"/>
    <x v="0"/>
    <x v="2"/>
    <x v="4"/>
    <s v="Veracruz"/>
  </r>
  <r>
    <x v="4"/>
    <n v="827921.0051999999"/>
    <x v="0"/>
    <x v="2"/>
    <x v="4"/>
    <s v="Veracruz"/>
  </r>
  <r>
    <x v="5"/>
    <n v="703688.48000000173"/>
    <x v="0"/>
    <x v="2"/>
    <x v="4"/>
    <s v="Veracruz"/>
  </r>
  <r>
    <x v="6"/>
    <n v="945548.47999999183"/>
    <x v="0"/>
    <x v="2"/>
    <x v="4"/>
    <s v="Veracruz"/>
  </r>
  <r>
    <x v="7"/>
    <n v="950363.63999998814"/>
    <x v="0"/>
    <x v="2"/>
    <x v="4"/>
    <s v="Veracruz"/>
  </r>
  <r>
    <x v="8"/>
    <n v="736677.02400000393"/>
    <x v="0"/>
    <x v="2"/>
    <x v="4"/>
    <s v="Veracruz"/>
  </r>
  <r>
    <x v="9"/>
    <n v="827505.256000016"/>
    <x v="0"/>
    <x v="2"/>
    <x v="4"/>
    <s v="Veracruz"/>
  </r>
  <r>
    <x v="10"/>
    <n v="713213.24000000604"/>
    <x v="0"/>
    <x v="2"/>
    <x v="4"/>
    <s v="Veracruz"/>
  </r>
  <r>
    <x v="11"/>
    <n v="762604.88000000012"/>
    <x v="0"/>
    <x v="2"/>
    <x v="4"/>
    <s v="Veracruz"/>
  </r>
  <r>
    <x v="0"/>
    <n v="803861.44000000402"/>
    <x v="1"/>
    <x v="2"/>
    <x v="4"/>
    <s v="Veracruz"/>
  </r>
  <r>
    <x v="1"/>
    <n v="774783.71999999916"/>
    <x v="1"/>
    <x v="2"/>
    <x v="4"/>
    <s v="Veracruz"/>
  </r>
  <r>
    <x v="2"/>
    <n v="891621.23999999627"/>
    <x v="1"/>
    <x v="2"/>
    <x v="4"/>
    <s v="Veracruz"/>
  </r>
  <r>
    <x v="3"/>
    <n v="976863.84000001696"/>
    <x v="1"/>
    <x v="2"/>
    <x v="4"/>
    <s v="Veracruz"/>
  </r>
  <r>
    <x v="4"/>
    <n v="783585.8115999928"/>
    <x v="1"/>
    <x v="2"/>
    <x v="4"/>
    <s v="Veracruz"/>
  </r>
  <r>
    <x v="0"/>
    <n v="641863.59999999939"/>
    <x v="0"/>
    <x v="2"/>
    <x v="5"/>
    <s v="Nuevo León"/>
  </r>
  <r>
    <x v="1"/>
    <n v="1005195.2395998116"/>
    <x v="0"/>
    <x v="2"/>
    <x v="5"/>
    <s v="Nuevo León"/>
  </r>
  <r>
    <x v="2"/>
    <n v="621895.7300000398"/>
    <x v="0"/>
    <x v="2"/>
    <x v="5"/>
    <s v="Nuevo León"/>
  </r>
  <r>
    <x v="3"/>
    <n v="1291159.7300000438"/>
    <x v="0"/>
    <x v="2"/>
    <x v="5"/>
    <s v="Nuevo León"/>
  </r>
  <r>
    <x v="4"/>
    <n v="1429141.3000000219"/>
    <x v="0"/>
    <x v="2"/>
    <x v="5"/>
    <s v="Nuevo León"/>
  </r>
  <r>
    <x v="5"/>
    <n v="1813016.223199975"/>
    <x v="0"/>
    <x v="2"/>
    <x v="5"/>
    <s v="Nuevo León"/>
  </r>
  <r>
    <x v="6"/>
    <n v="1667511.5999999689"/>
    <x v="0"/>
    <x v="2"/>
    <x v="5"/>
    <s v="Nuevo León"/>
  </r>
  <r>
    <x v="7"/>
    <n v="2074078.1091999488"/>
    <x v="0"/>
    <x v="2"/>
    <x v="5"/>
    <s v="Nuevo León"/>
  </r>
  <r>
    <x v="8"/>
    <n v="1684231.5615999887"/>
    <x v="0"/>
    <x v="2"/>
    <x v="5"/>
    <s v="Nuevo León"/>
  </r>
  <r>
    <x v="9"/>
    <n v="2030207.0367999617"/>
    <x v="0"/>
    <x v="2"/>
    <x v="5"/>
    <s v="Nuevo León"/>
  </r>
  <r>
    <x v="10"/>
    <n v="1997567.5136000011"/>
    <x v="0"/>
    <x v="2"/>
    <x v="5"/>
    <s v="Nuevo León"/>
  </r>
  <r>
    <x v="11"/>
    <n v="2208717.928799978"/>
    <x v="0"/>
    <x v="2"/>
    <x v="5"/>
    <s v="Nuevo León"/>
  </r>
  <r>
    <x v="0"/>
    <n v="1343748.1644000062"/>
    <x v="1"/>
    <x v="2"/>
    <x v="5"/>
    <s v="Nuevo León"/>
  </r>
  <r>
    <x v="1"/>
    <n v="1849258.6600000795"/>
    <x v="1"/>
    <x v="2"/>
    <x v="5"/>
    <s v="Nuevo León"/>
  </r>
  <r>
    <x v="2"/>
    <n v="2313994.680000111"/>
    <x v="1"/>
    <x v="2"/>
    <x v="5"/>
    <s v="Nuevo León"/>
  </r>
  <r>
    <x v="3"/>
    <n v="2548208.5400001034"/>
    <x v="1"/>
    <x v="2"/>
    <x v="5"/>
    <s v="Nuevo León"/>
  </r>
  <r>
    <x v="4"/>
    <n v="2242387.8800001061"/>
    <x v="1"/>
    <x v="2"/>
    <x v="5"/>
    <s v="Nuevo León"/>
  </r>
  <r>
    <x v="0"/>
    <n v="95514.479999998584"/>
    <x v="0"/>
    <x v="2"/>
    <x v="6"/>
    <s v="Quintana Roo"/>
  </r>
  <r>
    <x v="1"/>
    <n v="463428.26560001634"/>
    <x v="0"/>
    <x v="2"/>
    <x v="6"/>
    <s v="Quintana Roo"/>
  </r>
  <r>
    <x v="2"/>
    <n v="630015.71999999939"/>
    <x v="0"/>
    <x v="2"/>
    <x v="6"/>
    <s v="Quintana Roo"/>
  </r>
  <r>
    <x v="3"/>
    <n v="461668.69999999925"/>
    <x v="0"/>
    <x v="2"/>
    <x v="6"/>
    <s v="Quintana Roo"/>
  </r>
  <r>
    <x v="4"/>
    <n v="930510.24000000069"/>
    <x v="0"/>
    <x v="2"/>
    <x v="6"/>
    <s v="Quintana Roo"/>
  </r>
  <r>
    <x v="5"/>
    <n v="844793.1999999918"/>
    <x v="0"/>
    <x v="2"/>
    <x v="6"/>
    <s v="Quintana Roo"/>
  </r>
  <r>
    <x v="6"/>
    <n v="698655.23999999743"/>
    <x v="0"/>
    <x v="2"/>
    <x v="6"/>
    <s v="Quintana Roo"/>
  </r>
  <r>
    <x v="7"/>
    <n v="938898.19999999169"/>
    <x v="0"/>
    <x v="2"/>
    <x v="6"/>
    <s v="Quintana Roo"/>
  </r>
  <r>
    <x v="8"/>
    <n v="560866.9600000038"/>
    <x v="0"/>
    <x v="2"/>
    <x v="6"/>
    <s v="Quintana Roo"/>
  </r>
  <r>
    <x v="9"/>
    <n v="958182.03999999841"/>
    <x v="0"/>
    <x v="2"/>
    <x v="6"/>
    <s v="Quintana Roo"/>
  </r>
  <r>
    <x v="10"/>
    <n v="555634.20000000589"/>
    <x v="0"/>
    <x v="2"/>
    <x v="6"/>
    <s v="Quintana Roo"/>
  </r>
  <r>
    <x v="11"/>
    <n v="1306069.519999994"/>
    <x v="0"/>
    <x v="2"/>
    <x v="6"/>
    <s v="Quintana Roo"/>
  </r>
  <r>
    <x v="0"/>
    <n v="542743.12000000791"/>
    <x v="1"/>
    <x v="2"/>
    <x v="6"/>
    <s v="Quintana Roo"/>
  </r>
  <r>
    <x v="1"/>
    <n v="784330.52000001201"/>
    <x v="1"/>
    <x v="2"/>
    <x v="6"/>
    <s v="Quintana Roo"/>
  </r>
  <r>
    <x v="2"/>
    <n v="761799.84000001918"/>
    <x v="1"/>
    <x v="2"/>
    <x v="6"/>
    <s v="Quintana Roo"/>
  </r>
  <r>
    <x v="3"/>
    <n v="1055479.3600000127"/>
    <x v="1"/>
    <x v="2"/>
    <x v="6"/>
    <s v="Quintana Roo"/>
  </r>
  <r>
    <x v="4"/>
    <n v="667901.32000000845"/>
    <x v="1"/>
    <x v="2"/>
    <x v="6"/>
    <s v="Quintana Roo"/>
  </r>
  <r>
    <x v="0"/>
    <n v="8518337.1608000007"/>
    <x v="0"/>
    <x v="2"/>
    <x v="7"/>
    <s v="CDMX"/>
  </r>
  <r>
    <x v="1"/>
    <n v="11792226.314800244"/>
    <x v="0"/>
    <x v="2"/>
    <x v="7"/>
    <s v="CDMX"/>
  </r>
  <r>
    <x v="2"/>
    <n v="8130514.5484007001"/>
    <x v="0"/>
    <x v="2"/>
    <x v="7"/>
    <s v="CDMX"/>
  </r>
  <r>
    <x v="3"/>
    <n v="10422392.76719969"/>
    <x v="0"/>
    <x v="2"/>
    <x v="7"/>
    <s v="CDMX"/>
  </r>
  <r>
    <x v="4"/>
    <n v="10595586.603199802"/>
    <x v="0"/>
    <x v="2"/>
    <x v="7"/>
    <s v="CDMX"/>
  </r>
  <r>
    <x v="5"/>
    <n v="11003202.550399989"/>
    <x v="0"/>
    <x v="2"/>
    <x v="7"/>
    <s v="CDMX"/>
  </r>
  <r>
    <x v="6"/>
    <n v="11137237.557599943"/>
    <x v="0"/>
    <x v="2"/>
    <x v="7"/>
    <s v="CDMX"/>
  </r>
  <r>
    <x v="7"/>
    <n v="13876117.281199727"/>
    <x v="0"/>
    <x v="2"/>
    <x v="7"/>
    <s v="CDMX"/>
  </r>
  <r>
    <x v="8"/>
    <n v="11947096.696399651"/>
    <x v="0"/>
    <x v="2"/>
    <x v="7"/>
    <s v="CDMX"/>
  </r>
  <r>
    <x v="9"/>
    <n v="14453879.791999122"/>
    <x v="0"/>
    <x v="2"/>
    <x v="7"/>
    <s v="CDMX"/>
  </r>
  <r>
    <x v="10"/>
    <n v="13549311.246800715"/>
    <x v="0"/>
    <x v="2"/>
    <x v="7"/>
    <s v="CDMX"/>
  </r>
  <r>
    <x v="11"/>
    <n v="12390824.687200144"/>
    <x v="0"/>
    <x v="2"/>
    <x v="7"/>
    <s v="CDMX"/>
  </r>
  <r>
    <x v="0"/>
    <n v="8688767.1979999859"/>
    <x v="1"/>
    <x v="2"/>
    <x v="7"/>
    <s v="CDMX"/>
  </r>
  <r>
    <x v="1"/>
    <n v="11513804.019199923"/>
    <x v="1"/>
    <x v="2"/>
    <x v="7"/>
    <s v="CDMX"/>
  </r>
  <r>
    <x v="2"/>
    <n v="13140868.414399926"/>
    <x v="1"/>
    <x v="2"/>
    <x v="7"/>
    <s v="CDMX"/>
  </r>
  <r>
    <x v="3"/>
    <n v="13670472.153599968"/>
    <x v="1"/>
    <x v="2"/>
    <x v="7"/>
    <s v="CDMX"/>
  </r>
  <r>
    <x v="4"/>
    <n v="11935516.401999779"/>
    <x v="1"/>
    <x v="2"/>
    <x v="7"/>
    <s v="CDMX"/>
  </r>
  <r>
    <x v="0"/>
    <n v="398393.65999999968"/>
    <x v="0"/>
    <x v="2"/>
    <x v="8"/>
    <s v="Jalisco"/>
  </r>
  <r>
    <x v="1"/>
    <n v="890525.04"/>
    <x v="0"/>
    <x v="2"/>
    <x v="8"/>
    <s v="Jalisco"/>
  </r>
  <r>
    <x v="2"/>
    <n v="727889.56"/>
    <x v="0"/>
    <x v="2"/>
    <x v="8"/>
    <s v="Jalisco"/>
  </r>
  <r>
    <x v="3"/>
    <n v="691817.04"/>
    <x v="0"/>
    <x v="2"/>
    <x v="8"/>
    <s v="Jalisco"/>
  </r>
  <r>
    <x v="4"/>
    <n v="573378.72"/>
    <x v="0"/>
    <x v="2"/>
    <x v="8"/>
    <s v="Jalisco"/>
  </r>
  <r>
    <x v="5"/>
    <n v="657960.12000000186"/>
    <x v="0"/>
    <x v="2"/>
    <x v="8"/>
    <s v="Jalisco"/>
  </r>
  <r>
    <x v="6"/>
    <n v="587442.55999999726"/>
    <x v="0"/>
    <x v="2"/>
    <x v="8"/>
    <s v="Jalisco"/>
  </r>
  <r>
    <x v="7"/>
    <n v="788700.24000000069"/>
    <x v="0"/>
    <x v="2"/>
    <x v="8"/>
    <s v="Jalisco"/>
  </r>
  <r>
    <x v="8"/>
    <n v="589804.32000000146"/>
    <x v="0"/>
    <x v="2"/>
    <x v="8"/>
    <s v="Jalisco"/>
  </r>
  <r>
    <x v="9"/>
    <n v="667071.92000000551"/>
    <x v="0"/>
    <x v="2"/>
    <x v="8"/>
    <s v="Jalisco"/>
  </r>
  <r>
    <x v="10"/>
    <n v="816211.95999999426"/>
    <x v="0"/>
    <x v="2"/>
    <x v="8"/>
    <s v="Jalisco"/>
  </r>
  <r>
    <x v="11"/>
    <n v="1153711.6399999999"/>
    <x v="0"/>
    <x v="2"/>
    <x v="8"/>
    <s v="Jalisco"/>
  </r>
  <r>
    <x v="0"/>
    <n v="649517.64000000758"/>
    <x v="1"/>
    <x v="2"/>
    <x v="8"/>
    <s v="Jalisco"/>
  </r>
  <r>
    <x v="1"/>
    <n v="857553.20000000286"/>
    <x v="1"/>
    <x v="2"/>
    <x v="8"/>
    <s v="Jalisco"/>
  </r>
  <r>
    <x v="2"/>
    <n v="1090172.6400000015"/>
    <x v="1"/>
    <x v="2"/>
    <x v="8"/>
    <s v="Jalisco"/>
  </r>
  <r>
    <x v="3"/>
    <n v="1123386.9199999946"/>
    <x v="1"/>
    <x v="2"/>
    <x v="8"/>
    <s v="Jalisco"/>
  </r>
  <r>
    <x v="4"/>
    <n v="719682.55999998783"/>
    <x v="1"/>
    <x v="2"/>
    <x v="8"/>
    <s v="Jalisco"/>
  </r>
  <r>
    <x v="0"/>
    <n v="56764976.169999994"/>
    <x v="0"/>
    <x v="0"/>
    <x v="9"/>
    <s v="México"/>
  </r>
  <r>
    <x v="1"/>
    <n v="50535293.071200326"/>
    <x v="0"/>
    <x v="0"/>
    <x v="9"/>
    <s v="México"/>
  </r>
  <r>
    <x v="2"/>
    <n v="32121974.558000654"/>
    <x v="0"/>
    <x v="0"/>
    <x v="9"/>
    <s v="México"/>
  </r>
  <r>
    <x v="3"/>
    <n v="28301840.25280026"/>
    <x v="0"/>
    <x v="0"/>
    <x v="9"/>
    <s v="México"/>
  </r>
  <r>
    <x v="4"/>
    <n v="23469917.917600181"/>
    <x v="0"/>
    <x v="0"/>
    <x v="9"/>
    <s v="México"/>
  </r>
  <r>
    <x v="5"/>
    <n v="18281607.79400003"/>
    <x v="0"/>
    <x v="0"/>
    <x v="9"/>
    <s v="México"/>
  </r>
  <r>
    <x v="6"/>
    <n v="31612197.190000534"/>
    <x v="0"/>
    <x v="0"/>
    <x v="9"/>
    <s v="México"/>
  </r>
  <r>
    <x v="7"/>
    <n v="49606629.133614138"/>
    <x v="0"/>
    <x v="0"/>
    <x v="9"/>
    <s v="México"/>
  </r>
  <r>
    <x v="8"/>
    <n v="28342569.503600437"/>
    <x v="0"/>
    <x v="0"/>
    <x v="9"/>
    <s v="México"/>
  </r>
  <r>
    <x v="9"/>
    <n v="20249091.419999998"/>
    <x v="0"/>
    <x v="0"/>
    <x v="9"/>
    <s v="México"/>
  </r>
  <r>
    <x v="10"/>
    <n v="24706882.664800003"/>
    <x v="0"/>
    <x v="0"/>
    <x v="9"/>
    <s v="México"/>
  </r>
  <r>
    <x v="11"/>
    <n v="46950102.773999788"/>
    <x v="0"/>
    <x v="0"/>
    <x v="9"/>
    <s v="México"/>
  </r>
  <r>
    <x v="0"/>
    <n v="71906137.624352232"/>
    <x v="1"/>
    <x v="0"/>
    <x v="9"/>
    <s v="México"/>
  </r>
  <r>
    <x v="1"/>
    <n v="31371858.959999762"/>
    <x v="1"/>
    <x v="0"/>
    <x v="9"/>
    <s v="México"/>
  </r>
  <r>
    <x v="2"/>
    <n v="15641975.91999978"/>
    <x v="1"/>
    <x v="0"/>
    <x v="9"/>
    <s v="México"/>
  </r>
  <r>
    <x v="3"/>
    <n v="6805793.480000074"/>
    <x v="1"/>
    <x v="0"/>
    <x v="9"/>
    <s v="México"/>
  </r>
  <r>
    <x v="4"/>
    <n v="5000066.3199999938"/>
    <x v="1"/>
    <x v="0"/>
    <x v="9"/>
    <s v="México"/>
  </r>
  <r>
    <x v="0"/>
    <n v="12112802.840799998"/>
    <x v="0"/>
    <x v="2"/>
    <x v="9"/>
    <s v="México"/>
  </r>
  <r>
    <x v="1"/>
    <n v="17535734.876400072"/>
    <x v="0"/>
    <x v="2"/>
    <x v="9"/>
    <s v="México"/>
  </r>
  <r>
    <x v="2"/>
    <n v="13291998.138400739"/>
    <x v="0"/>
    <x v="2"/>
    <x v="9"/>
    <s v="México"/>
  </r>
  <r>
    <x v="3"/>
    <n v="15694697.357199732"/>
    <x v="0"/>
    <x v="2"/>
    <x v="9"/>
    <s v="México"/>
  </r>
  <r>
    <x v="4"/>
    <n v="16258451.619199825"/>
    <x v="0"/>
    <x v="2"/>
    <x v="9"/>
    <s v="México"/>
  </r>
  <r>
    <x v="5"/>
    <n v="17249429.93519989"/>
    <x v="0"/>
    <x v="2"/>
    <x v="9"/>
    <s v="México"/>
  </r>
  <r>
    <x v="6"/>
    <n v="17475260.150399815"/>
    <x v="0"/>
    <x v="2"/>
    <x v="9"/>
    <s v="México"/>
  </r>
  <r>
    <x v="7"/>
    <n v="21444563.717599567"/>
    <x v="0"/>
    <x v="2"/>
    <x v="9"/>
    <s v="México"/>
  </r>
  <r>
    <x v="8"/>
    <n v="17923502.895999633"/>
    <x v="0"/>
    <x v="2"/>
    <x v="9"/>
    <s v="México"/>
  </r>
  <r>
    <x v="9"/>
    <n v="21216027.500799071"/>
    <x v="0"/>
    <x v="2"/>
    <x v="9"/>
    <s v="México"/>
  </r>
  <r>
    <x v="10"/>
    <n v="19782082.654800698"/>
    <x v="0"/>
    <x v="2"/>
    <x v="9"/>
    <s v="México"/>
  </r>
  <r>
    <x v="11"/>
    <n v="20357693.968800109"/>
    <x v="0"/>
    <x v="2"/>
    <x v="9"/>
    <s v="México"/>
  </r>
  <r>
    <x v="0"/>
    <n v="14179529.943599977"/>
    <x v="1"/>
    <x v="2"/>
    <x v="9"/>
    <s v="México"/>
  </r>
  <r>
    <x v="1"/>
    <n v="18125288.399199929"/>
    <x v="1"/>
    <x v="2"/>
    <x v="9"/>
    <s v="México"/>
  </r>
  <r>
    <x v="2"/>
    <n v="20689953.534399983"/>
    <x v="1"/>
    <x v="2"/>
    <x v="9"/>
    <s v="México"/>
  </r>
  <r>
    <x v="3"/>
    <n v="22663858.936000034"/>
    <x v="1"/>
    <x v="2"/>
    <x v="9"/>
    <s v="México"/>
  </r>
  <r>
    <x v="4"/>
    <n v="18247207.470399857"/>
    <x v="1"/>
    <x v="2"/>
    <x v="9"/>
    <s v="México"/>
  </r>
  <r>
    <x v="0"/>
    <n v="10644061.8364"/>
    <x v="0"/>
    <x v="1"/>
    <x v="9"/>
    <s v="México"/>
  </r>
  <r>
    <x v="1"/>
    <n v="8976160.9875999987"/>
    <x v="0"/>
    <x v="1"/>
    <x v="9"/>
    <s v="México"/>
  </r>
  <r>
    <x v="2"/>
    <n v="6173941.3575999998"/>
    <x v="0"/>
    <x v="1"/>
    <x v="9"/>
    <s v="México"/>
  </r>
  <r>
    <x v="3"/>
    <n v="11578460.678399999"/>
    <x v="0"/>
    <x v="1"/>
    <x v="9"/>
    <s v="México"/>
  </r>
  <r>
    <x v="4"/>
    <n v="193301.55320000075"/>
    <x v="0"/>
    <x v="1"/>
    <x v="9"/>
    <s v="México"/>
  </r>
  <r>
    <x v="5"/>
    <n v="10981411.8576"/>
    <x v="0"/>
    <x v="1"/>
    <x v="9"/>
    <s v="México"/>
  </r>
  <r>
    <x v="6"/>
    <n v="6475358.7975999974"/>
    <x v="0"/>
    <x v="1"/>
    <x v="9"/>
    <s v="México"/>
  </r>
  <r>
    <x v="7"/>
    <n v="6175851.8320000013"/>
    <x v="0"/>
    <x v="1"/>
    <x v="9"/>
    <s v="México"/>
  </r>
  <r>
    <x v="8"/>
    <n v="6662146.6607999913"/>
    <x v="0"/>
    <x v="1"/>
    <x v="9"/>
    <s v="México"/>
  </r>
  <r>
    <x v="9"/>
    <n v="5804901.0199999996"/>
    <x v="0"/>
    <x v="1"/>
    <x v="9"/>
    <s v="México"/>
  </r>
  <r>
    <x v="10"/>
    <n v="6689257.4499999993"/>
    <x v="0"/>
    <x v="1"/>
    <x v="9"/>
    <s v="México"/>
  </r>
  <r>
    <x v="11"/>
    <n v="5748967.4935999997"/>
    <x v="0"/>
    <x v="1"/>
    <x v="9"/>
    <s v="México"/>
  </r>
  <r>
    <x v="0"/>
    <n v="8638881.6600000001"/>
    <x v="1"/>
    <x v="1"/>
    <x v="9"/>
    <s v="México"/>
  </r>
  <r>
    <x v="1"/>
    <n v="6164100.4863999998"/>
    <x v="1"/>
    <x v="1"/>
    <x v="9"/>
    <s v="México"/>
  </r>
  <r>
    <x v="2"/>
    <n v="6154547.9863999886"/>
    <x v="1"/>
    <x v="1"/>
    <x v="9"/>
    <s v="México"/>
  </r>
  <r>
    <x v="3"/>
    <n v="6208374.0055999998"/>
    <x v="1"/>
    <x v="1"/>
    <x v="9"/>
    <s v="México"/>
  </r>
  <r>
    <x v="4"/>
    <n v="6000000"/>
    <x v="1"/>
    <x v="1"/>
    <x v="9"/>
    <s v="Méxic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0.50574517406085528"/>
    <n v="2022"/>
    <x v="0"/>
  </r>
  <r>
    <x v="1"/>
    <n v="-0.39642799898878722"/>
    <n v="2022"/>
    <x v="0"/>
  </r>
  <r>
    <x v="2"/>
    <n v="-0.35674667519043596"/>
    <n v="2022"/>
    <x v="0"/>
  </r>
  <r>
    <x v="3"/>
    <n v="-0.12373109646048884"/>
    <n v="2022"/>
    <x v="0"/>
  </r>
  <r>
    <x v="4"/>
    <n v="-0.98014422680394331"/>
    <n v="2022"/>
    <x v="0"/>
  </r>
  <r>
    <x v="5"/>
    <s v="-"/>
    <n v="2022"/>
    <x v="0"/>
  </r>
  <r>
    <x v="6"/>
    <s v="-"/>
    <n v="2022"/>
    <x v="0"/>
  </r>
  <r>
    <x v="7"/>
    <s v="-"/>
    <n v="2022"/>
    <x v="0"/>
  </r>
  <r>
    <x v="8"/>
    <s v="-"/>
    <n v="2022"/>
    <x v="0"/>
  </r>
  <r>
    <x v="9"/>
    <s v="-"/>
    <n v="2022"/>
    <x v="0"/>
  </r>
  <r>
    <x v="10"/>
    <s v="-"/>
    <n v="2022"/>
    <x v="0"/>
  </r>
  <r>
    <x v="11"/>
    <s v="-"/>
    <n v="2022"/>
    <x v="0"/>
  </r>
  <r>
    <x v="0"/>
    <n v="0.24"/>
    <n v="2022"/>
    <x v="1"/>
  </r>
  <r>
    <x v="1"/>
    <n v="0.15124160789461719"/>
    <n v="2022"/>
    <x v="1"/>
  </r>
  <r>
    <x v="2"/>
    <n v="5.7439817923060167E-2"/>
    <n v="2022"/>
    <x v="1"/>
  </r>
  <r>
    <x v="3"/>
    <n v="0.51082035788111613"/>
    <n v="2022"/>
    <x v="1"/>
  </r>
  <r>
    <x v="4"/>
    <n v="-0.63131378821332695"/>
    <n v="2022"/>
    <x v="1"/>
  </r>
  <r>
    <x v="5"/>
    <s v="-"/>
    <n v="2022"/>
    <x v="1"/>
  </r>
  <r>
    <x v="6"/>
    <s v="-"/>
    <n v="2022"/>
    <x v="1"/>
  </r>
  <r>
    <x v="7"/>
    <s v="-"/>
    <n v="2022"/>
    <x v="1"/>
  </r>
  <r>
    <x v="8"/>
    <s v="-"/>
    <n v="2022"/>
    <x v="1"/>
  </r>
  <r>
    <x v="9"/>
    <s v="-"/>
    <n v="2022"/>
    <x v="1"/>
  </r>
  <r>
    <x v="10"/>
    <s v="-"/>
    <n v="2022"/>
    <x v="1"/>
  </r>
  <r>
    <x v="11"/>
    <s v="-"/>
    <n v="2022"/>
    <x v="1"/>
  </r>
  <r>
    <x v="0"/>
    <n v="0.36"/>
    <n v="2022"/>
    <x v="2"/>
  </r>
  <r>
    <x v="1"/>
    <n v="0.38877758061342332"/>
    <n v="2022"/>
    <x v="2"/>
  </r>
  <r>
    <x v="2"/>
    <n v="0.35011666147689613"/>
    <n v="2022"/>
    <x v="2"/>
  </r>
  <r>
    <x v="3"/>
    <n v="0.33977458575414593"/>
    <n v="2022"/>
    <x v="2"/>
  </r>
  <r>
    <x v="4"/>
    <n v="-0.6095702624353273"/>
    <n v="2022"/>
    <x v="2"/>
  </r>
  <r>
    <x v="5"/>
    <s v="-"/>
    <n v="2022"/>
    <x v="2"/>
  </r>
  <r>
    <x v="6"/>
    <s v="-"/>
    <n v="2022"/>
    <x v="2"/>
  </r>
  <r>
    <x v="7"/>
    <s v="-"/>
    <n v="2022"/>
    <x v="2"/>
  </r>
  <r>
    <x v="8"/>
    <s v="-"/>
    <n v="2022"/>
    <x v="2"/>
  </r>
  <r>
    <x v="9"/>
    <s v="-"/>
    <n v="2022"/>
    <x v="2"/>
  </r>
  <r>
    <x v="10"/>
    <s v="-"/>
    <n v="2022"/>
    <x v="2"/>
  </r>
  <r>
    <x v="11"/>
    <s v="-"/>
    <n v="2022"/>
    <x v="2"/>
  </r>
  <r>
    <x v="0"/>
    <n v="0.61"/>
    <n v="2022"/>
    <x v="3"/>
  </r>
  <r>
    <x v="1"/>
    <n v="0.61948938962650091"/>
    <n v="2022"/>
    <x v="3"/>
  </r>
  <r>
    <x v="2"/>
    <n v="0.40944863117563735"/>
    <n v="2022"/>
    <x v="3"/>
  </r>
  <r>
    <x v="3"/>
    <n v="0.40413147065267563"/>
    <n v="2022"/>
    <x v="3"/>
  </r>
  <r>
    <x v="4"/>
    <n v="-0.41564762684525058"/>
    <n v="2022"/>
    <x v="3"/>
  </r>
  <r>
    <x v="5"/>
    <s v="-"/>
    <n v="2022"/>
    <x v="3"/>
  </r>
  <r>
    <x v="6"/>
    <s v="-"/>
    <n v="2022"/>
    <x v="3"/>
  </r>
  <r>
    <x v="7"/>
    <s v="-"/>
    <n v="2022"/>
    <x v="3"/>
  </r>
  <r>
    <x v="8"/>
    <s v="-"/>
    <n v="2022"/>
    <x v="3"/>
  </r>
  <r>
    <x v="9"/>
    <s v="-"/>
    <n v="2022"/>
    <x v="3"/>
  </r>
  <r>
    <x v="10"/>
    <s v="-"/>
    <n v="2022"/>
    <x v="3"/>
  </r>
  <r>
    <x v="11"/>
    <s v="-"/>
    <n v="2022"/>
    <x v="3"/>
  </r>
  <r>
    <x v="0"/>
    <n v="0.57999999999999996"/>
    <n v="2022"/>
    <x v="4"/>
  </r>
  <r>
    <x v="1"/>
    <n v="0.43100858587739566"/>
    <n v="2022"/>
    <x v="4"/>
  </r>
  <r>
    <x v="2"/>
    <n v="0.38385351142596386"/>
    <n v="2022"/>
    <x v="4"/>
  </r>
  <r>
    <x v="3"/>
    <n v="0.13350061648473494"/>
    <n v="2022"/>
    <x v="4"/>
  </r>
  <r>
    <x v="4"/>
    <n v="-5.2783458604365181E-2"/>
    <n v="2022"/>
    <x v="4"/>
  </r>
  <r>
    <x v="5"/>
    <s v="-"/>
    <n v="2022"/>
    <x v="4"/>
  </r>
  <r>
    <x v="6"/>
    <s v="-"/>
    <n v="2022"/>
    <x v="4"/>
  </r>
  <r>
    <x v="7"/>
    <s v="-"/>
    <n v="2022"/>
    <x v="4"/>
  </r>
  <r>
    <x v="8"/>
    <s v="-"/>
    <n v="2022"/>
    <x v="4"/>
  </r>
  <r>
    <x v="9"/>
    <s v="-"/>
    <n v="2022"/>
    <x v="4"/>
  </r>
  <r>
    <x v="10"/>
    <s v="-"/>
    <n v="2022"/>
    <x v="4"/>
  </r>
  <r>
    <x v="11"/>
    <s v="-"/>
    <n v="2022"/>
    <x v="4"/>
  </r>
  <r>
    <x v="0"/>
    <n v="0.43"/>
    <n v="2022"/>
    <x v="5"/>
  </r>
  <r>
    <x v="1"/>
    <n v="0.34074443063073639"/>
    <n v="2022"/>
    <x v="5"/>
  </r>
  <r>
    <x v="2"/>
    <n v="0.30646411214174568"/>
    <n v="2022"/>
    <x v="5"/>
  </r>
  <r>
    <x v="3"/>
    <n v="0.38769938771245077"/>
    <n v="2022"/>
    <x v="5"/>
  </r>
  <r>
    <x v="4"/>
    <n v="-6.5505310386073587E-2"/>
    <n v="2022"/>
    <x v="5"/>
  </r>
  <r>
    <x v="5"/>
    <s v="-"/>
    <n v="2022"/>
    <x v="5"/>
  </r>
  <r>
    <x v="6"/>
    <s v="-"/>
    <n v="2022"/>
    <x v="5"/>
  </r>
  <r>
    <x v="7"/>
    <s v="-"/>
    <n v="2022"/>
    <x v="5"/>
  </r>
  <r>
    <x v="8"/>
    <s v="-"/>
    <n v="2022"/>
    <x v="5"/>
  </r>
  <r>
    <x v="9"/>
    <s v="-"/>
    <n v="2022"/>
    <x v="5"/>
  </r>
  <r>
    <x v="10"/>
    <s v="-"/>
    <n v="2022"/>
    <x v="5"/>
  </r>
  <r>
    <x v="11"/>
    <s v="-"/>
    <n v="2022"/>
    <x v="5"/>
  </r>
  <r>
    <x v="0"/>
    <n v="0.42"/>
    <n v="2022"/>
    <x v="6"/>
  </r>
  <r>
    <x v="1"/>
    <n v="0.32010011168083741"/>
    <n v="2022"/>
    <x v="6"/>
  </r>
  <r>
    <x v="2"/>
    <n v="0.11381324756050143"/>
    <n v="2022"/>
    <x v="6"/>
  </r>
  <r>
    <x v="3"/>
    <n v="-8.8074018465169782E-2"/>
    <n v="2022"/>
    <x v="6"/>
  </r>
  <r>
    <x v="4"/>
    <n v="-2.0175556944376272"/>
    <n v="2022"/>
    <x v="6"/>
  </r>
  <r>
    <x v="5"/>
    <s v="-"/>
    <n v="2022"/>
    <x v="6"/>
  </r>
  <r>
    <x v="6"/>
    <s v="-"/>
    <n v="2022"/>
    <x v="6"/>
  </r>
  <r>
    <x v="7"/>
    <s v="-"/>
    <n v="2022"/>
    <x v="6"/>
  </r>
  <r>
    <x v="8"/>
    <s v="-"/>
    <n v="2022"/>
    <x v="6"/>
  </r>
  <r>
    <x v="9"/>
    <s v="-"/>
    <n v="2022"/>
    <x v="6"/>
  </r>
  <r>
    <x v="10"/>
    <s v="-"/>
    <n v="2022"/>
    <x v="6"/>
  </r>
  <r>
    <x v="11"/>
    <s v="-"/>
    <n v="2022"/>
    <x v="6"/>
  </r>
  <r>
    <x v="0"/>
    <n v="0.48"/>
    <n v="2022"/>
    <x v="7"/>
  </r>
  <r>
    <x v="1"/>
    <n v="0.58381908833820206"/>
    <n v="2022"/>
    <x v="7"/>
  </r>
  <r>
    <x v="2"/>
    <n v="0.17617375530760587"/>
    <n v="2022"/>
    <x v="7"/>
  </r>
  <r>
    <x v="3"/>
    <n v="0.20249034858010248"/>
    <n v="2022"/>
    <x v="7"/>
  </r>
  <r>
    <x v="4"/>
    <n v="-5.330788399312422E-3"/>
    <n v="2022"/>
    <x v="7"/>
  </r>
  <r>
    <x v="5"/>
    <s v="-"/>
    <n v="2022"/>
    <x v="7"/>
  </r>
  <r>
    <x v="6"/>
    <s v="-"/>
    <n v="2022"/>
    <x v="7"/>
  </r>
  <r>
    <x v="7"/>
    <s v="-"/>
    <n v="2022"/>
    <x v="7"/>
  </r>
  <r>
    <x v="8"/>
    <s v="-"/>
    <n v="2022"/>
    <x v="7"/>
  </r>
  <r>
    <x v="9"/>
    <s v="-"/>
    <n v="2022"/>
    <x v="7"/>
  </r>
  <r>
    <x v="10"/>
    <s v="-"/>
    <n v="2022"/>
    <x v="7"/>
  </r>
  <r>
    <x v="11"/>
    <s v="-"/>
    <n v="2022"/>
    <x v="7"/>
  </r>
  <r>
    <x v="0"/>
    <n v="0.62752924774712138"/>
    <n v="2022"/>
    <x v="8"/>
  </r>
  <r>
    <x v="1"/>
    <n v="6.4273559040833345E-2"/>
    <n v="2022"/>
    <x v="8"/>
  </r>
  <r>
    <x v="2"/>
    <n v="7.7649529627217176E-2"/>
    <n v="2022"/>
    <x v="8"/>
  </r>
  <r>
    <x v="3"/>
    <n v="-0.44824224941411783"/>
    <n v="2022"/>
    <x v="8"/>
  </r>
  <r>
    <x v="4"/>
    <n v="-0.20655204364310459"/>
    <n v="2022"/>
    <x v="8"/>
  </r>
  <r>
    <x v="5"/>
    <s v="-"/>
    <n v="2022"/>
    <x v="8"/>
  </r>
  <r>
    <x v="6"/>
    <s v="-"/>
    <n v="2022"/>
    <x v="8"/>
  </r>
  <r>
    <x v="7"/>
    <s v="-"/>
    <n v="2022"/>
    <x v="8"/>
  </r>
  <r>
    <x v="8"/>
    <s v="-"/>
    <n v="2022"/>
    <x v="8"/>
  </r>
  <r>
    <x v="9"/>
    <s v="-"/>
    <n v="2022"/>
    <x v="8"/>
  </r>
  <r>
    <x v="10"/>
    <s v="-"/>
    <n v="2022"/>
    <x v="8"/>
  </r>
  <r>
    <x v="11"/>
    <s v="-"/>
    <n v="2022"/>
    <x v="8"/>
  </r>
  <r>
    <x v="0"/>
    <n v="0.64101215348421858"/>
    <n v="2022"/>
    <x v="9"/>
  </r>
  <r>
    <x v="1"/>
    <n v="-0.11503682783524584"/>
    <n v="2022"/>
    <x v="9"/>
  </r>
  <r>
    <x v="2"/>
    <n v="-0.26226020975754255"/>
    <n v="2022"/>
    <x v="9"/>
  </r>
  <r>
    <x v="3"/>
    <n v="-0.36375547852508716"/>
    <n v="2022"/>
    <x v="9"/>
  </r>
  <r>
    <x v="4"/>
    <n v="0.21420985237015064"/>
    <n v="2022"/>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0">
  <r>
    <x v="0"/>
    <n v="3132"/>
    <x v="0"/>
    <s v="Cliente 01"/>
    <x v="0"/>
    <s v="Oaxaca"/>
  </r>
  <r>
    <x v="1"/>
    <n v="1566"/>
    <x v="0"/>
    <s v="Cliente 01"/>
    <x v="0"/>
    <s v="Oaxaca"/>
  </r>
  <r>
    <x v="2"/>
    <n v="22504"/>
    <x v="0"/>
    <s v="Cliente 01"/>
    <x v="0"/>
    <s v="Oaxaca"/>
  </r>
  <r>
    <x v="3"/>
    <n v="51678"/>
    <x v="0"/>
    <s v="Cliente 01"/>
    <x v="0"/>
    <s v="Oaxaca"/>
  </r>
  <r>
    <x v="4"/>
    <n v="19140"/>
    <x v="0"/>
    <s v="Cliente 01"/>
    <x v="0"/>
    <s v="Oaxaca"/>
  </r>
  <r>
    <x v="5"/>
    <n v="11310"/>
    <x v="0"/>
    <s v="Cliente 01"/>
    <x v="0"/>
    <s v="Oaxaca"/>
  </r>
  <r>
    <x v="6"/>
    <n v="43500"/>
    <x v="0"/>
    <s v="Cliente 01"/>
    <x v="0"/>
    <s v="Oaxaca"/>
  </r>
  <r>
    <x v="7"/>
    <n v="46980"/>
    <x v="0"/>
    <s v="Cliente 01"/>
    <x v="0"/>
    <s v="Oaxaca"/>
  </r>
  <r>
    <x v="8"/>
    <n v="33060"/>
    <x v="0"/>
    <s v="Cliente 01"/>
    <x v="0"/>
    <s v="Oaxaca"/>
  </r>
  <r>
    <x v="9"/>
    <n v="8700"/>
    <x v="0"/>
    <s v="Cliente 01"/>
    <x v="0"/>
    <s v="Oaxaca"/>
  </r>
  <r>
    <x v="10"/>
    <n v="9860"/>
    <x v="0"/>
    <s v="Cliente 01"/>
    <x v="0"/>
    <s v="Oaxaca"/>
  </r>
  <r>
    <x v="11"/>
    <n v="2610"/>
    <x v="0"/>
    <s v="Cliente 01"/>
    <x v="0"/>
    <s v="Oaxaca"/>
  </r>
  <r>
    <x v="0"/>
    <n v="48720"/>
    <x v="1"/>
    <s v="Cliente 01"/>
    <x v="0"/>
    <s v="Oaxaca"/>
  </r>
  <r>
    <x v="1"/>
    <n v="9570"/>
    <x v="1"/>
    <s v="Cliente 01"/>
    <x v="0"/>
    <s v="Oaxaca"/>
  </r>
  <r>
    <x v="2"/>
    <n v="2610"/>
    <x v="1"/>
    <s v="Cliente 01"/>
    <x v="0"/>
    <s v="Oaxaca"/>
  </r>
  <r>
    <x v="3"/>
    <n v="870"/>
    <x v="1"/>
    <s v="Cliente 01"/>
    <x v="0"/>
    <s v="Oaxaca"/>
  </r>
  <r>
    <x v="4"/>
    <s v="-"/>
    <x v="1"/>
    <s v="Cliente 01"/>
    <x v="0"/>
    <s v="Oaxaca"/>
  </r>
  <r>
    <x v="0"/>
    <n v="160769.04"/>
    <x v="0"/>
    <s v="Cliente 01"/>
    <x v="1"/>
    <s v="Campeche"/>
  </r>
  <r>
    <x v="1"/>
    <n v="173761.04"/>
    <x v="0"/>
    <s v="Cliente 01"/>
    <x v="1"/>
    <s v="Campeche"/>
  </r>
  <r>
    <x v="2"/>
    <n v="196504"/>
    <x v="0"/>
    <s v="Cliente 01"/>
    <x v="1"/>
    <s v="Campeche"/>
  </r>
  <r>
    <x v="3"/>
    <n v="376304"/>
    <x v="0"/>
    <s v="Cliente 01"/>
    <x v="1"/>
    <s v="Campeche"/>
  </r>
  <r>
    <x v="4"/>
    <n v="173826"/>
    <x v="0"/>
    <s v="Cliente 01"/>
    <x v="1"/>
    <s v="Campeche"/>
  </r>
  <r>
    <x v="5"/>
    <n v="108750"/>
    <x v="0"/>
    <s v="Cliente 01"/>
    <x v="1"/>
    <s v="Campeche"/>
  </r>
  <r>
    <x v="6"/>
    <n v="183454"/>
    <x v="0"/>
    <s v="Cliente 01"/>
    <x v="1"/>
    <s v="Campeche"/>
  </r>
  <r>
    <x v="7"/>
    <n v="223242"/>
    <x v="0"/>
    <s v="Cliente 01"/>
    <x v="1"/>
    <s v="Campeche"/>
  </r>
  <r>
    <x v="8"/>
    <n v="306008"/>
    <x v="0"/>
    <s v="Cliente 01"/>
    <x v="1"/>
    <s v="Campeche"/>
  </r>
  <r>
    <x v="9"/>
    <n v="91872"/>
    <x v="0"/>
    <s v="Cliente 01"/>
    <x v="1"/>
    <s v="Campeche"/>
  </r>
  <r>
    <x v="10"/>
    <n v="47554.200000000033"/>
    <x v="0"/>
    <s v="Cliente 01"/>
    <x v="1"/>
    <s v="Campeche"/>
  </r>
  <r>
    <x v="11"/>
    <n v="201086.01"/>
    <x v="0"/>
    <s v="Cliente 01"/>
    <x v="1"/>
    <s v="Campeche"/>
  </r>
  <r>
    <x v="0"/>
    <n v="1020104"/>
    <x v="1"/>
    <s v="Cliente 01"/>
    <x v="1"/>
    <s v="Campeche"/>
  </r>
  <r>
    <x v="1"/>
    <n v="308676"/>
    <x v="1"/>
    <s v="Cliente 01"/>
    <x v="1"/>
    <s v="Campeche"/>
  </r>
  <r>
    <x v="2"/>
    <n v="117566"/>
    <x v="1"/>
    <s v="Cliente 01"/>
    <x v="1"/>
    <s v="Campeche"/>
  </r>
  <r>
    <x v="3"/>
    <n v="66584"/>
    <x v="1"/>
    <s v="Cliente 01"/>
    <x v="1"/>
    <s v="Campeche"/>
  </r>
  <r>
    <x v="4"/>
    <n v="55332"/>
    <x v="1"/>
    <s v="Cliente 01"/>
    <x v="1"/>
    <s v="Campeche"/>
  </r>
  <r>
    <x v="0"/>
    <n v="432448"/>
    <x v="0"/>
    <s v="Cliente 01"/>
    <x v="2"/>
    <s v="Guerrero"/>
  </r>
  <r>
    <x v="1"/>
    <n v="609580"/>
    <x v="0"/>
    <s v="Cliente 01"/>
    <x v="2"/>
    <s v="Guerrero"/>
  </r>
  <r>
    <x v="2"/>
    <n v="416498"/>
    <x v="0"/>
    <s v="Cliente 01"/>
    <x v="2"/>
    <s v="Guerrero"/>
  </r>
  <r>
    <x v="3"/>
    <n v="473222"/>
    <x v="0"/>
    <s v="Cliente 01"/>
    <x v="2"/>
    <s v="Guerrero"/>
  </r>
  <r>
    <x v="4"/>
    <n v="512314"/>
    <x v="0"/>
    <s v="Cliente 01"/>
    <x v="2"/>
    <s v="Guerrero"/>
  </r>
  <r>
    <x v="5"/>
    <n v="177190"/>
    <x v="0"/>
    <s v="Cliente 01"/>
    <x v="2"/>
    <s v="Guerrero"/>
  </r>
  <r>
    <x v="6"/>
    <n v="707999.45759999985"/>
    <x v="0"/>
    <s v="Cliente 01"/>
    <x v="2"/>
    <s v="Guerrero"/>
  </r>
  <r>
    <x v="7"/>
    <n v="978634"/>
    <x v="0"/>
    <s v="Cliente 01"/>
    <x v="2"/>
    <s v="Guerrero"/>
  </r>
  <r>
    <x v="8"/>
    <n v="335530"/>
    <x v="0"/>
    <s v="Cliente 01"/>
    <x v="2"/>
    <s v="Guerrero"/>
  </r>
  <r>
    <x v="9"/>
    <n v="386736.11"/>
    <x v="0"/>
    <s v="Cliente 01"/>
    <x v="2"/>
    <s v="Guerrero"/>
  </r>
  <r>
    <x v="10"/>
    <n v="487702.2799999998"/>
    <x v="0"/>
    <s v="Cliente 01"/>
    <x v="2"/>
    <s v="Guerrero"/>
  </r>
  <r>
    <x v="11"/>
    <n v="1026762.9567999996"/>
    <x v="0"/>
    <s v="Cliente 01"/>
    <x v="2"/>
    <s v="Guerrero"/>
  </r>
  <r>
    <x v="0"/>
    <n v="1355635.1600231794"/>
    <x v="1"/>
    <s v="Cliente 01"/>
    <x v="2"/>
    <s v="Guerrero"/>
  </r>
  <r>
    <x v="1"/>
    <n v="963704.79999998992"/>
    <x v="1"/>
    <s v="Cliente 01"/>
    <x v="2"/>
    <s v="Guerrero"/>
  </r>
  <r>
    <x v="2"/>
    <n v="252265.2000000012"/>
    <x v="1"/>
    <s v="Cliente 01"/>
    <x v="2"/>
    <s v="Guerrero"/>
  </r>
  <r>
    <x v="3"/>
    <n v="144025.59999999992"/>
    <x v="1"/>
    <s v="Cliente 01"/>
    <x v="2"/>
    <s v="Guerrero"/>
  </r>
  <r>
    <x v="4"/>
    <n v="69936.399999999936"/>
    <x v="1"/>
    <s v="Cliente 01"/>
    <x v="2"/>
    <s v="Guerrero"/>
  </r>
  <r>
    <x v="0"/>
    <n v="2098717.2400000002"/>
    <x v="0"/>
    <s v="Cliente 01"/>
    <x v="3"/>
    <s v="Yucatán"/>
  </r>
  <r>
    <x v="1"/>
    <n v="2454959.04"/>
    <x v="0"/>
    <s v="Cliente 01"/>
    <x v="3"/>
    <s v="Yucatán"/>
  </r>
  <r>
    <x v="2"/>
    <n v="1598886"/>
    <x v="0"/>
    <s v="Cliente 01"/>
    <x v="3"/>
    <s v="Yucatán"/>
  </r>
  <r>
    <x v="3"/>
    <n v="1456728"/>
    <x v="0"/>
    <s v="Cliente 01"/>
    <x v="3"/>
    <s v="Yucatán"/>
  </r>
  <r>
    <x v="4"/>
    <n v="1727472"/>
    <x v="0"/>
    <s v="Cliente 01"/>
    <x v="3"/>
    <s v="Yucatán"/>
  </r>
  <r>
    <x v="5"/>
    <n v="2135792"/>
    <x v="0"/>
    <s v="Cliente 01"/>
    <x v="3"/>
    <s v="Yucatán"/>
  </r>
  <r>
    <x v="6"/>
    <n v="3897436.2312000399"/>
    <x v="0"/>
    <s v="Cliente 01"/>
    <x v="3"/>
    <s v="Yucatán"/>
  </r>
  <r>
    <x v="7"/>
    <n v="5461790.4000001252"/>
    <x v="0"/>
    <s v="Cliente 01"/>
    <x v="3"/>
    <s v="Yucatán"/>
  </r>
  <r>
    <x v="8"/>
    <n v="2435187.9999999614"/>
    <x v="0"/>
    <s v="Cliente 01"/>
    <x v="3"/>
    <s v="Yucatán"/>
  </r>
  <r>
    <x v="9"/>
    <n v="3294267.76"/>
    <x v="0"/>
    <s v="Cliente 01"/>
    <x v="3"/>
    <s v="Yucatán"/>
  </r>
  <r>
    <x v="10"/>
    <n v="1328866.999999993"/>
    <x v="0"/>
    <s v="Cliente 01"/>
    <x v="3"/>
    <s v="Yucatán"/>
  </r>
  <r>
    <x v="11"/>
    <n v="12919722.719999813"/>
    <x v="0"/>
    <s v="Cliente 01"/>
    <x v="3"/>
    <s v="Yucatán"/>
  </r>
  <r>
    <x v="0"/>
    <n v="7787393.2000000421"/>
    <x v="1"/>
    <s v="Cliente 01"/>
    <x v="3"/>
    <s v="Yucatán"/>
  </r>
  <r>
    <x v="1"/>
    <n v="5153073.8000000045"/>
    <x v="1"/>
    <s v="Cliente 01"/>
    <x v="3"/>
    <s v="Yucatán"/>
  </r>
  <r>
    <x v="2"/>
    <n v="1377627.5999999996"/>
    <x v="1"/>
    <s v="Cliente 01"/>
    <x v="3"/>
    <s v="Yucatán"/>
  </r>
  <r>
    <x v="3"/>
    <n v="467601.8000000004"/>
    <x v="1"/>
    <s v="Cliente 01"/>
    <x v="3"/>
    <s v="Yucatán"/>
  </r>
  <r>
    <x v="4"/>
    <n v="354907.80000000045"/>
    <x v="1"/>
    <s v="Cliente 01"/>
    <x v="3"/>
    <s v="Yucatán"/>
  </r>
  <r>
    <x v="0"/>
    <n v="366328"/>
    <x v="0"/>
    <s v="Cliente 01"/>
    <x v="4"/>
    <s v="Veracruz"/>
  </r>
  <r>
    <x v="1"/>
    <n v="396546"/>
    <x v="0"/>
    <s v="Cliente 01"/>
    <x v="4"/>
    <s v="Veracruz"/>
  </r>
  <r>
    <x v="2"/>
    <n v="214078"/>
    <x v="0"/>
    <s v="Cliente 01"/>
    <x v="4"/>
    <s v="Veracruz"/>
  </r>
  <r>
    <x v="3"/>
    <n v="201144"/>
    <x v="0"/>
    <s v="Cliente 01"/>
    <x v="4"/>
    <s v="Veracruz"/>
  </r>
  <r>
    <x v="4"/>
    <n v="103008"/>
    <x v="0"/>
    <s v="Cliente 01"/>
    <x v="4"/>
    <s v="Veracruz"/>
  </r>
  <r>
    <x v="5"/>
    <n v="80214"/>
    <x v="0"/>
    <s v="Cliente 01"/>
    <x v="4"/>
    <s v="Veracruz"/>
  </r>
  <r>
    <x v="6"/>
    <n v="164256"/>
    <x v="0"/>
    <s v="Cliente 01"/>
    <x v="4"/>
    <s v="Veracruz"/>
  </r>
  <r>
    <x v="7"/>
    <n v="368532"/>
    <x v="0"/>
    <s v="Cliente 01"/>
    <x v="4"/>
    <s v="Veracruz"/>
  </r>
  <r>
    <x v="8"/>
    <n v="156658"/>
    <x v="0"/>
    <s v="Cliente 01"/>
    <x v="4"/>
    <s v="Veracruz"/>
  </r>
  <r>
    <x v="9"/>
    <n v="79692"/>
    <x v="0"/>
    <s v="Cliente 01"/>
    <x v="4"/>
    <s v="Veracruz"/>
  </r>
  <r>
    <x v="10"/>
    <n v="77366.200000000026"/>
    <x v="0"/>
    <s v="Cliente 01"/>
    <x v="4"/>
    <s v="Veracruz"/>
  </r>
  <r>
    <x v="11"/>
    <n v="361920"/>
    <x v="0"/>
    <s v="Cliente 01"/>
    <x v="4"/>
    <s v="Veracruz"/>
  </r>
  <r>
    <x v="0"/>
    <n v="1285628"/>
    <x v="1"/>
    <s v="Cliente 01"/>
    <x v="4"/>
    <s v="Veracruz"/>
  </r>
  <r>
    <x v="1"/>
    <n v="805040"/>
    <x v="1"/>
    <s v="Cliente 01"/>
    <x v="4"/>
    <s v="Veracruz"/>
  </r>
  <r>
    <x v="2"/>
    <n v="341214"/>
    <x v="1"/>
    <s v="Cliente 01"/>
    <x v="4"/>
    <s v="Veracruz"/>
  </r>
  <r>
    <x v="3"/>
    <n v="235364"/>
    <x v="1"/>
    <s v="Cliente 01"/>
    <x v="4"/>
    <s v="Veracruz"/>
  </r>
  <r>
    <x v="4"/>
    <n v="242208"/>
    <x v="1"/>
    <s v="Cliente 01"/>
    <x v="4"/>
    <s v="Veracruz"/>
  </r>
  <r>
    <x v="0"/>
    <n v="4310031.2"/>
    <x v="0"/>
    <s v="Cliente 01"/>
    <x v="5"/>
    <s v="Nuevo León"/>
  </r>
  <r>
    <x v="1"/>
    <n v="3974530.2604001886"/>
    <x v="0"/>
    <s v="Cliente 01"/>
    <x v="5"/>
    <s v="Nuevo León"/>
  </r>
  <r>
    <x v="2"/>
    <n v="2172117.3999999561"/>
    <x v="0"/>
    <s v="Cliente 01"/>
    <x v="5"/>
    <s v="Nuevo León"/>
  </r>
  <r>
    <x v="3"/>
    <n v="2091433.5999999563"/>
    <x v="0"/>
    <s v="Cliente 01"/>
    <x v="5"/>
    <s v="Nuevo León"/>
  </r>
  <r>
    <x v="4"/>
    <n v="1365580.9999999783"/>
    <x v="0"/>
    <s v="Cliente 01"/>
    <x v="5"/>
    <s v="Nuevo León"/>
  </r>
  <r>
    <x v="5"/>
    <n v="1700026.3999999715"/>
    <x v="0"/>
    <s v="Cliente 01"/>
    <x v="5"/>
    <s v="Nuevo León"/>
  </r>
  <r>
    <x v="6"/>
    <n v="3081969.2000000915"/>
    <x v="0"/>
    <s v="Cliente 01"/>
    <x v="5"/>
    <s v="Nuevo León"/>
  </r>
  <r>
    <x v="7"/>
    <n v="6895248.8000003742"/>
    <x v="0"/>
    <s v="Cliente 01"/>
    <x v="5"/>
    <s v="Nuevo León"/>
  </r>
  <r>
    <x v="8"/>
    <n v="4234910.6000001812"/>
    <x v="0"/>
    <s v="Cliente 01"/>
    <x v="5"/>
    <s v="Nuevo León"/>
  </r>
  <r>
    <x v="9"/>
    <n v="1956148.5999999999"/>
    <x v="0"/>
    <s v="Cliente 01"/>
    <x v="5"/>
    <s v="Nuevo León"/>
  </r>
  <r>
    <x v="10"/>
    <n v="1647425.0400000017"/>
    <x v="0"/>
    <s v="Cliente 01"/>
    <x v="5"/>
    <s v="Nuevo León"/>
  </r>
  <r>
    <x v="11"/>
    <n v="2422398.9999999693"/>
    <x v="0"/>
    <s v="Cliente 01"/>
    <x v="5"/>
    <s v="Nuevo León"/>
  </r>
  <r>
    <x v="0"/>
    <n v="9109258.4400000293"/>
    <x v="1"/>
    <s v="Cliente 01"/>
    <x v="5"/>
    <s v="Nuevo León"/>
  </r>
  <r>
    <x v="1"/>
    <n v="2475547.8800000036"/>
    <x v="1"/>
    <s v="Cliente 01"/>
    <x v="5"/>
    <s v="Nuevo León"/>
  </r>
  <r>
    <x v="2"/>
    <n v="825182.23999999452"/>
    <x v="1"/>
    <s v="Cliente 01"/>
    <x v="5"/>
    <s v="Nuevo León"/>
  </r>
  <r>
    <x v="3"/>
    <n v="489075.72000000259"/>
    <x v="1"/>
    <s v="Cliente 01"/>
    <x v="5"/>
    <s v="Nuevo León"/>
  </r>
  <r>
    <x v="4"/>
    <n v="531950.48000000266"/>
    <x v="1"/>
    <s v="Cliente 01"/>
    <x v="5"/>
    <s v="Nuevo León"/>
  </r>
  <r>
    <x v="0"/>
    <n v="9297214.4000000004"/>
    <x v="0"/>
    <s v="Cliente 01"/>
    <x v="6"/>
    <s v="Quintana Roo"/>
  </r>
  <r>
    <x v="1"/>
    <n v="9540675.014399983"/>
    <x v="0"/>
    <s v="Cliente 01"/>
    <x v="6"/>
    <s v="Quintana Roo"/>
  </r>
  <r>
    <x v="2"/>
    <n v="5311524"/>
    <x v="0"/>
    <s v="Cliente 01"/>
    <x v="6"/>
    <s v="Quintana Roo"/>
  </r>
  <r>
    <x v="3"/>
    <n v="5340524"/>
    <x v="0"/>
    <s v="Cliente 01"/>
    <x v="6"/>
    <s v="Quintana Roo"/>
  </r>
  <r>
    <x v="4"/>
    <n v="4240728"/>
    <x v="0"/>
    <s v="Cliente 01"/>
    <x v="6"/>
    <s v="Quintana Roo"/>
  </r>
  <r>
    <x v="5"/>
    <n v="2218442"/>
    <x v="0"/>
    <s v="Cliente 01"/>
    <x v="6"/>
    <s v="Quintana Roo"/>
  </r>
  <r>
    <x v="6"/>
    <n v="2765730"/>
    <x v="0"/>
    <s v="Cliente 01"/>
    <x v="6"/>
    <s v="Quintana Roo"/>
  </r>
  <r>
    <x v="7"/>
    <n v="4469364"/>
    <x v="0"/>
    <s v="Cliente 01"/>
    <x v="6"/>
    <s v="Quintana Roo"/>
  </r>
  <r>
    <x v="8"/>
    <n v="2688764"/>
    <x v="0"/>
    <s v="Cliente 01"/>
    <x v="6"/>
    <s v="Quintana Roo"/>
  </r>
  <r>
    <x v="9"/>
    <n v="2601590"/>
    <x v="0"/>
    <s v="Cliente 01"/>
    <x v="6"/>
    <s v="Quintana Roo"/>
  </r>
  <r>
    <x v="10"/>
    <n v="9180109.7088000812"/>
    <x v="0"/>
    <s v="Cliente 01"/>
    <x v="6"/>
    <s v="Quintana Roo"/>
  </r>
  <r>
    <x v="11"/>
    <n v="11326356"/>
    <x v="0"/>
    <s v="Cliente 01"/>
    <x v="6"/>
    <s v="Quintana Roo"/>
  </r>
  <r>
    <x v="0"/>
    <n v="8079806"/>
    <x v="1"/>
    <s v="Cliente 01"/>
    <x v="6"/>
    <s v="Quintana Roo"/>
  </r>
  <r>
    <x v="1"/>
    <n v="5617010"/>
    <x v="1"/>
    <s v="Cliente 01"/>
    <x v="6"/>
    <s v="Quintana Roo"/>
  </r>
  <r>
    <x v="2"/>
    <n v="2364219.1999999993"/>
    <x v="1"/>
    <s v="Cliente 01"/>
    <x v="6"/>
    <s v="Quintana Roo"/>
  </r>
  <r>
    <x v="3"/>
    <n v="687613.20000000007"/>
    <x v="1"/>
    <s v="Cliente 01"/>
    <x v="6"/>
    <s v="Quintana Roo"/>
  </r>
  <r>
    <x v="4"/>
    <n v="228496.8"/>
    <x v="1"/>
    <s v="Cliente 01"/>
    <x v="6"/>
    <s v="Quintana Roo"/>
  </r>
  <r>
    <x v="0"/>
    <n v="37471896.609999992"/>
    <x v="0"/>
    <s v="Cliente 01"/>
    <x v="7"/>
    <s v="CDMX"/>
  </r>
  <r>
    <x v="1"/>
    <n v="31879155.716400154"/>
    <x v="0"/>
    <s v="Cliente 01"/>
    <x v="7"/>
    <s v="CDMX"/>
  </r>
  <r>
    <x v="2"/>
    <n v="21642111.1580007"/>
    <x v="0"/>
    <s v="Cliente 01"/>
    <x v="7"/>
    <s v="CDMX"/>
  </r>
  <r>
    <x v="3"/>
    <n v="17635338.652800303"/>
    <x v="0"/>
    <s v="Cliente 01"/>
    <x v="7"/>
    <s v="CDMX"/>
  </r>
  <r>
    <x v="4"/>
    <n v="14886468.917600201"/>
    <x v="0"/>
    <s v="Cliente 01"/>
    <x v="7"/>
    <s v="CDMX"/>
  </r>
  <r>
    <x v="5"/>
    <n v="11545615.394000059"/>
    <x v="0"/>
    <s v="Cliente 01"/>
    <x v="7"/>
    <s v="CDMX"/>
  </r>
  <r>
    <x v="6"/>
    <n v="19752608.701200403"/>
    <x v="0"/>
    <s v="Cliente 01"/>
    <x v="7"/>
    <s v="CDMX"/>
  </r>
  <r>
    <x v="7"/>
    <n v="28753362.493602041"/>
    <x v="0"/>
    <s v="Cliente 01"/>
    <x v="7"/>
    <s v="CDMX"/>
  </r>
  <r>
    <x v="8"/>
    <n v="16376780.903600294"/>
    <x v="0"/>
    <s v="Cliente 01"/>
    <x v="7"/>
    <s v="CDMX"/>
  </r>
  <r>
    <x v="9"/>
    <n v="10811952.949999999"/>
    <x v="0"/>
    <s v="Cliente 01"/>
    <x v="7"/>
    <s v="CDMX"/>
  </r>
  <r>
    <x v="10"/>
    <n v="10443317.715999929"/>
    <x v="0"/>
    <s v="Cliente 01"/>
    <x v="7"/>
    <s v="CDMX"/>
  </r>
  <r>
    <x v="11"/>
    <n v="14438333.287200006"/>
    <x v="0"/>
    <s v="Cliente 01"/>
    <x v="7"/>
    <s v="CDMX"/>
  </r>
  <r>
    <x v="0"/>
    <n v="37283231.418399461"/>
    <x v="1"/>
    <s v="Cliente 01"/>
    <x v="7"/>
    <s v="CDMX"/>
  </r>
  <r>
    <x v="1"/>
    <n v="13068464.879999761"/>
    <x v="1"/>
    <s v="Cliente 01"/>
    <x v="7"/>
    <s v="CDMX"/>
  </r>
  <r>
    <x v="2"/>
    <n v="9180713.2799997851"/>
    <x v="1"/>
    <s v="Cliente 01"/>
    <x v="7"/>
    <s v="CDMX"/>
  </r>
  <r>
    <x v="3"/>
    <n v="4359706.8800000725"/>
    <x v="1"/>
    <s v="Cliente 01"/>
    <x v="7"/>
    <s v="CDMX"/>
  </r>
  <r>
    <x v="4"/>
    <n v="3219741.2399999914"/>
    <x v="1"/>
    <s v="Cliente 01"/>
    <x v="7"/>
    <s v="CDMX"/>
  </r>
  <r>
    <x v="0"/>
    <n v="2624439.6800000002"/>
    <x v="0"/>
    <s v="Cliente 01"/>
    <x v="8"/>
    <s v="Jalisco"/>
  </r>
  <r>
    <x v="1"/>
    <n v="1504520"/>
    <x v="0"/>
    <s v="Cliente 01"/>
    <x v="8"/>
    <s v="Jalisco"/>
  </r>
  <r>
    <x v="2"/>
    <n v="547752"/>
    <x v="0"/>
    <s v="Cliente 01"/>
    <x v="8"/>
    <s v="Jalisco"/>
  </r>
  <r>
    <x v="3"/>
    <n v="675468"/>
    <x v="0"/>
    <s v="Cliente 01"/>
    <x v="8"/>
    <s v="Jalisco"/>
  </r>
  <r>
    <x v="4"/>
    <n v="441380"/>
    <x v="0"/>
    <s v="Cliente 01"/>
    <x v="8"/>
    <s v="Jalisco"/>
  </r>
  <r>
    <x v="5"/>
    <n v="304268"/>
    <x v="0"/>
    <s v="Cliente 01"/>
    <x v="8"/>
    <s v="Jalisco"/>
  </r>
  <r>
    <x v="6"/>
    <n v="1015243.5999999999"/>
    <x v="0"/>
    <s v="Cliente 01"/>
    <x v="8"/>
    <s v="Jalisco"/>
  </r>
  <r>
    <x v="7"/>
    <n v="2409475.4400116"/>
    <x v="0"/>
    <s v="Cliente 01"/>
    <x v="8"/>
    <s v="Jalisco"/>
  </r>
  <r>
    <x v="8"/>
    <n v="1775670"/>
    <x v="0"/>
    <s v="Cliente 01"/>
    <x v="8"/>
    <s v="Jalisco"/>
  </r>
  <r>
    <x v="9"/>
    <n v="1018132"/>
    <x v="0"/>
    <s v="Cliente 01"/>
    <x v="8"/>
    <s v="Jalisco"/>
  </r>
  <r>
    <x v="10"/>
    <n v="1484680.5199999975"/>
    <x v="0"/>
    <s v="Cliente 01"/>
    <x v="8"/>
    <s v="Jalisco"/>
  </r>
  <r>
    <x v="11"/>
    <n v="4250912.8"/>
    <x v="0"/>
    <s v="Cliente 01"/>
    <x v="8"/>
    <s v="Jalisco"/>
  </r>
  <r>
    <x v="0"/>
    <n v="5936361.0259295758"/>
    <x v="1"/>
    <s v="Cliente 01"/>
    <x v="8"/>
    <s v="Jalisco"/>
  </r>
  <r>
    <x v="1"/>
    <n v="2970771.6000000034"/>
    <x v="1"/>
    <s v="Cliente 01"/>
    <x v="8"/>
    <s v="Jalisco"/>
  </r>
  <r>
    <x v="2"/>
    <n v="1180578.3999999997"/>
    <x v="1"/>
    <s v="Cliente 01"/>
    <x v="8"/>
    <s v="Jalisco"/>
  </r>
  <r>
    <x v="3"/>
    <n v="306738.80000000005"/>
    <x v="1"/>
    <s v="Cliente 01"/>
    <x v="8"/>
    <s v="Jalisco"/>
  </r>
  <r>
    <x v="4"/>
    <n v="297493.59999999998"/>
    <x v="1"/>
    <s v="Cliente 01"/>
    <x v="8"/>
    <s v="Jalisco"/>
  </r>
  <r>
    <x v="0"/>
    <n v="188701.2696"/>
    <x v="0"/>
    <s v="Cliente 03"/>
    <x v="0"/>
    <s v="Oaxaca"/>
  </r>
  <r>
    <x v="1"/>
    <n v="226963.02360000001"/>
    <x v="0"/>
    <s v="Cliente 03"/>
    <x v="0"/>
    <s v="Oaxaca"/>
  </r>
  <r>
    <x v="2"/>
    <n v="213680.52000000002"/>
    <x v="0"/>
    <s v="Cliente 03"/>
    <x v="0"/>
    <s v="Oaxaca"/>
  </r>
  <r>
    <x v="3"/>
    <n v="381381.46840000001"/>
    <x v="0"/>
    <s v="Cliente 03"/>
    <x v="0"/>
    <s v="Oaxaca"/>
  </r>
  <r>
    <x v="4"/>
    <n v="15836.389599999995"/>
    <x v="0"/>
    <s v="Cliente 03"/>
    <x v="0"/>
    <s v="Oaxaca"/>
  </r>
  <r>
    <x v="5"/>
    <n v="340532.37239999999"/>
    <x v="0"/>
    <s v="Cliente 03"/>
    <x v="0"/>
    <s v="Oaxaca"/>
  </r>
  <r>
    <x v="6"/>
    <n v="243457.14599999989"/>
    <x v="0"/>
    <s v="Cliente 03"/>
    <x v="0"/>
    <s v="Oaxaca"/>
  </r>
  <r>
    <x v="7"/>
    <n v="191801.82400000002"/>
    <x v="0"/>
    <s v="Cliente 03"/>
    <x v="0"/>
    <s v="Oaxaca"/>
  </r>
  <r>
    <x v="8"/>
    <n v="190647.99520000003"/>
    <x v="0"/>
    <s v="Cliente 03"/>
    <x v="0"/>
    <s v="Oaxaca"/>
  </r>
  <r>
    <x v="9"/>
    <n v="180715.44"/>
    <x v="0"/>
    <s v="Cliente 03"/>
    <x v="0"/>
    <s v="Oaxaca"/>
  </r>
  <r>
    <x v="10"/>
    <n v="150975.16000000015"/>
    <x v="0"/>
    <s v="Cliente 03"/>
    <x v="0"/>
    <s v="Oaxaca"/>
  </r>
  <r>
    <x v="11"/>
    <n v="159784.432"/>
    <x v="0"/>
    <s v="Cliente 03"/>
    <x v="0"/>
    <s v="Oaxaca"/>
  </r>
  <r>
    <x v="0"/>
    <n v="176794.35"/>
    <x v="1"/>
    <s v="Cliente 03"/>
    <x v="0"/>
    <s v="Oaxaca"/>
  </r>
  <r>
    <x v="1"/>
    <n v="189379.26839999997"/>
    <x v="1"/>
    <s v="Cliente 03"/>
    <x v="0"/>
    <s v="Oaxaca"/>
  </r>
  <r>
    <x v="2"/>
    <n v="196286.56959999999"/>
    <x v="1"/>
    <s v="Cliente 03"/>
    <x v="0"/>
    <s v="Oaxaca"/>
  </r>
  <r>
    <x v="3"/>
    <n v="196528.71959999998"/>
    <x v="1"/>
    <s v="Cliente 03"/>
    <x v="0"/>
    <s v="Oaxaca"/>
  </r>
  <r>
    <x v="4"/>
    <m/>
    <x v="1"/>
    <s v="Cliente 03"/>
    <x v="0"/>
    <s v="Oaxaca"/>
  </r>
  <r>
    <x v="0"/>
    <n v="231613.31760000001"/>
    <x v="0"/>
    <s v="Cliente 03"/>
    <x v="1"/>
    <s v="Campeche"/>
  </r>
  <r>
    <x v="1"/>
    <n v="260136.584"/>
    <x v="0"/>
    <s v="Cliente 03"/>
    <x v="1"/>
    <s v="Campeche"/>
  </r>
  <r>
    <x v="2"/>
    <n v="290142.9976"/>
    <x v="0"/>
    <s v="Cliente 03"/>
    <x v="1"/>
    <s v="Campeche"/>
  </r>
  <r>
    <x v="3"/>
    <n v="548745.18000000005"/>
    <x v="0"/>
    <s v="Cliente 03"/>
    <x v="1"/>
    <s v="Campeche"/>
  </r>
  <r>
    <x v="4"/>
    <n v="6145.158000000054"/>
    <x v="0"/>
    <s v="Cliente 03"/>
    <x v="1"/>
    <s v="Campeche"/>
  </r>
  <r>
    <x v="5"/>
    <n v="482865.30039999995"/>
    <x v="0"/>
    <s v="Cliente 03"/>
    <x v="1"/>
    <s v="Campeche"/>
  </r>
  <r>
    <x v="6"/>
    <n v="329174.00039999984"/>
    <x v="0"/>
    <s v="Cliente 03"/>
    <x v="1"/>
    <s v="Campeche"/>
  </r>
  <r>
    <x v="7"/>
    <n v="295318.25200000004"/>
    <x v="0"/>
    <s v="Cliente 03"/>
    <x v="1"/>
    <s v="Campeche"/>
  </r>
  <r>
    <x v="8"/>
    <n v="282610.45199999982"/>
    <x v="0"/>
    <s v="Cliente 03"/>
    <x v="1"/>
    <s v="Campeche"/>
  </r>
  <r>
    <x v="9"/>
    <n v="286355.28999999998"/>
    <x v="0"/>
    <s v="Cliente 03"/>
    <x v="1"/>
    <s v="Campeche"/>
  </r>
  <r>
    <x v="10"/>
    <n v="264101.07439999992"/>
    <x v="0"/>
    <s v="Cliente 03"/>
    <x v="1"/>
    <s v="Campeche"/>
  </r>
  <r>
    <x v="11"/>
    <n v="238211.24319999997"/>
    <x v="0"/>
    <s v="Cliente 03"/>
    <x v="1"/>
    <s v="Campeche"/>
  </r>
  <r>
    <x v="0"/>
    <n v="269377.83"/>
    <x v="1"/>
    <s v="Cliente 03"/>
    <x v="1"/>
    <s v="Campeche"/>
  </r>
  <r>
    <x v="1"/>
    <n v="336578.59360000002"/>
    <x v="1"/>
    <s v="Cliente 03"/>
    <x v="1"/>
    <s v="Campeche"/>
  </r>
  <r>
    <x v="2"/>
    <n v="342118.39399999951"/>
    <x v="1"/>
    <s v="Cliente 03"/>
    <x v="1"/>
    <s v="Campeche"/>
  </r>
  <r>
    <x v="3"/>
    <n v="348534.87599999999"/>
    <x v="1"/>
    <s v="Cliente 03"/>
    <x v="1"/>
    <s v="Campeche"/>
  </r>
  <r>
    <x v="4"/>
    <m/>
    <x v="1"/>
    <s v="Cliente 03"/>
    <x v="1"/>
    <s v="Campeche"/>
  </r>
  <r>
    <x v="0"/>
    <n v="348275.94"/>
    <x v="0"/>
    <s v="Cliente 03"/>
    <x v="2"/>
    <s v="Guerrero"/>
  </r>
  <r>
    <x v="1"/>
    <n v="400136.87"/>
    <x v="0"/>
    <s v="Cliente 03"/>
    <x v="2"/>
    <s v="Guerrero"/>
  </r>
  <r>
    <x v="2"/>
    <n v="487693.77"/>
    <x v="0"/>
    <s v="Cliente 03"/>
    <x v="2"/>
    <s v="Guerrero"/>
  </r>
  <r>
    <x v="3"/>
    <n v="848044.32"/>
    <x v="0"/>
    <s v="Cliente 03"/>
    <x v="2"/>
    <s v="Guerrero"/>
  </r>
  <r>
    <x v="4"/>
    <n v="135803.92600000004"/>
    <x v="0"/>
    <s v="Cliente 03"/>
    <x v="2"/>
    <s v="Guerrero"/>
  </r>
  <r>
    <x v="5"/>
    <n v="808410.05520000006"/>
    <x v="0"/>
    <s v="Cliente 03"/>
    <x v="2"/>
    <s v="Guerrero"/>
  </r>
  <r>
    <x v="6"/>
    <n v="438614.0148"/>
    <x v="0"/>
    <s v="Cliente 03"/>
    <x v="2"/>
    <s v="Guerrero"/>
  </r>
  <r>
    <x v="7"/>
    <n v="480979.50000000041"/>
    <x v="0"/>
    <s v="Cliente 03"/>
    <x v="2"/>
    <s v="Guerrero"/>
  </r>
  <r>
    <x v="8"/>
    <n v="368779.19599999994"/>
    <x v="0"/>
    <s v="Cliente 03"/>
    <x v="2"/>
    <s v="Guerrero"/>
  </r>
  <r>
    <x v="9"/>
    <n v="436865.34"/>
    <x v="0"/>
    <s v="Cliente 03"/>
    <x v="2"/>
    <s v="Guerrero"/>
  </r>
  <r>
    <x v="10"/>
    <n v="426340.05479999969"/>
    <x v="0"/>
    <s v="Cliente 03"/>
    <x v="2"/>
    <s v="Guerrero"/>
  </r>
  <r>
    <x v="11"/>
    <n v="344633.4596"/>
    <x v="0"/>
    <s v="Cliente 03"/>
    <x v="2"/>
    <s v="Guerrero"/>
  </r>
  <r>
    <x v="0"/>
    <n v="385621.47000000009"/>
    <x v="1"/>
    <s v="Cliente 03"/>
    <x v="2"/>
    <s v="Guerrero"/>
  </r>
  <r>
    <x v="1"/>
    <n v="452529.44439999992"/>
    <x v="1"/>
    <s v="Cliente 03"/>
    <x v="2"/>
    <s v="Guerrero"/>
  </r>
  <r>
    <x v="2"/>
    <n v="441318.17199999827"/>
    <x v="1"/>
    <s v="Cliente 03"/>
    <x v="2"/>
    <s v="Guerrero"/>
  </r>
  <r>
    <x v="3"/>
    <n v="407769.06960000005"/>
    <x v="1"/>
    <s v="Cliente 03"/>
    <x v="2"/>
    <s v="Guerrero"/>
  </r>
  <r>
    <x v="4"/>
    <m/>
    <x v="1"/>
    <s v="Cliente 03"/>
    <x v="2"/>
    <s v="Guerrero"/>
  </r>
  <r>
    <x v="0"/>
    <n v="525965.78"/>
    <x v="0"/>
    <s v="Cliente 03"/>
    <x v="3"/>
    <s v="Yucatán"/>
  </r>
  <r>
    <x v="1"/>
    <n v="589629.31999999995"/>
    <x v="0"/>
    <s v="Cliente 03"/>
    <x v="3"/>
    <s v="Yucatán"/>
  </r>
  <r>
    <x v="2"/>
    <n v="695974.76"/>
    <x v="0"/>
    <s v="Cliente 03"/>
    <x v="3"/>
    <s v="Yucatán"/>
  </r>
  <r>
    <x v="3"/>
    <n v="1282486.1700000002"/>
    <x v="0"/>
    <s v="Cliente 03"/>
    <x v="3"/>
    <s v="Yucatán"/>
  </r>
  <r>
    <x v="4"/>
    <n v="-89141.174399999902"/>
    <x v="0"/>
    <s v="Cliente 03"/>
    <x v="3"/>
    <s v="Yucatán"/>
  </r>
  <r>
    <x v="5"/>
    <n v="1350939.8512000002"/>
    <x v="0"/>
    <s v="Cliente 03"/>
    <x v="3"/>
    <s v="Yucatán"/>
  </r>
  <r>
    <x v="6"/>
    <n v="625303.5564"/>
    <x v="0"/>
    <s v="Cliente 03"/>
    <x v="3"/>
    <s v="Yucatán"/>
  </r>
  <r>
    <x v="7"/>
    <n v="623128.63760000048"/>
    <x v="0"/>
    <s v="Cliente 03"/>
    <x v="3"/>
    <s v="Yucatán"/>
  </r>
  <r>
    <x v="8"/>
    <n v="606661.56760000018"/>
    <x v="0"/>
    <s v="Cliente 03"/>
    <x v="3"/>
    <s v="Yucatán"/>
  </r>
  <r>
    <x v="9"/>
    <n v="618847.1"/>
    <x v="0"/>
    <s v="Cliente 03"/>
    <x v="3"/>
    <s v="Yucatán"/>
  </r>
  <r>
    <x v="10"/>
    <n v="706343.42999999947"/>
    <x v="0"/>
    <s v="Cliente 03"/>
    <x v="3"/>
    <s v="Yucatán"/>
  </r>
  <r>
    <x v="11"/>
    <n v="503883.59560000006"/>
    <x v="0"/>
    <s v="Cliente 03"/>
    <x v="3"/>
    <s v="Yucatán"/>
  </r>
  <r>
    <x v="0"/>
    <n v="456483.81000000006"/>
    <x v="1"/>
    <s v="Cliente 03"/>
    <x v="3"/>
    <s v="Yucatán"/>
  </r>
  <r>
    <x v="1"/>
    <n v="655351.21039999987"/>
    <x v="1"/>
    <s v="Cliente 03"/>
    <x v="3"/>
    <s v="Yucatán"/>
  </r>
  <r>
    <x v="2"/>
    <n v="643269.74079999828"/>
    <x v="1"/>
    <s v="Cliente 03"/>
    <x v="3"/>
    <s v="Yucatán"/>
  </r>
  <r>
    <x v="3"/>
    <n v="664881.61960000009"/>
    <x v="1"/>
    <s v="Cliente 03"/>
    <x v="3"/>
    <s v="Yucatán"/>
  </r>
  <r>
    <x v="4"/>
    <m/>
    <x v="1"/>
    <s v="Cliente 03"/>
    <x v="3"/>
    <s v="Yucatán"/>
  </r>
  <r>
    <x v="0"/>
    <n v="368146.33"/>
    <x v="0"/>
    <s v="Cliente 03"/>
    <x v="4"/>
    <s v="Veracruz"/>
  </r>
  <r>
    <x v="1"/>
    <n v="411147.35"/>
    <x v="0"/>
    <s v="Cliente 03"/>
    <x v="4"/>
    <s v="Veracruz"/>
  </r>
  <r>
    <x v="2"/>
    <n v="464100.82"/>
    <x v="0"/>
    <s v="Cliente 03"/>
    <x v="4"/>
    <s v="Veracruz"/>
  </r>
  <r>
    <x v="3"/>
    <n v="863799.13"/>
    <x v="0"/>
    <s v="Cliente 03"/>
    <x v="4"/>
    <s v="Veracruz"/>
  </r>
  <r>
    <x v="4"/>
    <n v="17669.734799999977"/>
    <x v="0"/>
    <s v="Cliente 03"/>
    <x v="4"/>
    <s v="Veracruz"/>
  </r>
  <r>
    <x v="5"/>
    <n v="863781.32120000012"/>
    <x v="0"/>
    <s v="Cliente 03"/>
    <x v="4"/>
    <s v="Veracruz"/>
  </r>
  <r>
    <x v="6"/>
    <n v="447461.20720000006"/>
    <x v="0"/>
    <s v="Cliente 03"/>
    <x v="4"/>
    <s v="Veracruz"/>
  </r>
  <r>
    <x v="7"/>
    <n v="450700.5652000003"/>
    <x v="0"/>
    <s v="Cliente 03"/>
    <x v="4"/>
    <s v="Veracruz"/>
  </r>
  <r>
    <x v="8"/>
    <n v="424377.0796"/>
    <x v="0"/>
    <s v="Cliente 03"/>
    <x v="4"/>
    <s v="Veracruz"/>
  </r>
  <r>
    <x v="9"/>
    <n v="448495.2"/>
    <x v="0"/>
    <s v="Cliente 03"/>
    <x v="4"/>
    <s v="Veracruz"/>
  </r>
  <r>
    <x v="10"/>
    <n v="405048.99719999969"/>
    <x v="0"/>
    <s v="Cliente 03"/>
    <x v="4"/>
    <s v="Veracruz"/>
  </r>
  <r>
    <x v="11"/>
    <n v="367659.43639999995"/>
    <x v="0"/>
    <s v="Cliente 03"/>
    <x v="4"/>
    <s v="Veracruz"/>
  </r>
  <r>
    <x v="0"/>
    <n v="418626.23000000004"/>
    <x v="1"/>
    <s v="Cliente 03"/>
    <x v="4"/>
    <s v="Veracruz"/>
  </r>
  <r>
    <x v="1"/>
    <n v="448260.04119999992"/>
    <x v="1"/>
    <s v="Cliente 03"/>
    <x v="4"/>
    <s v="Veracruz"/>
  </r>
  <r>
    <x v="2"/>
    <n v="478276.01559999835"/>
    <x v="1"/>
    <s v="Cliente 03"/>
    <x v="4"/>
    <s v="Veracruz"/>
  </r>
  <r>
    <x v="3"/>
    <n v="455019.30320000002"/>
    <x v="1"/>
    <s v="Cliente 03"/>
    <x v="4"/>
    <s v="Veracruz"/>
  </r>
  <r>
    <x v="4"/>
    <m/>
    <x v="1"/>
    <s v="Cliente 03"/>
    <x v="4"/>
    <s v="Veracruz"/>
  </r>
  <r>
    <x v="0"/>
    <n v="0"/>
    <x v="0"/>
    <s v="Cliente 03"/>
    <x v="5"/>
    <s v="Nuevo León"/>
  </r>
  <r>
    <x v="1"/>
    <n v="0"/>
    <x v="0"/>
    <s v="Cliente 03"/>
    <x v="5"/>
    <s v="Nuevo León"/>
  </r>
  <r>
    <x v="2"/>
    <n v="0"/>
    <x v="0"/>
    <s v="Cliente 03"/>
    <x v="5"/>
    <s v="Nuevo León"/>
  </r>
  <r>
    <x v="3"/>
    <n v="0"/>
    <x v="0"/>
    <s v="Cliente 03"/>
    <x v="5"/>
    <s v="Nuevo León"/>
  </r>
  <r>
    <x v="4"/>
    <n v="0"/>
    <x v="0"/>
    <s v="Cliente 03"/>
    <x v="5"/>
    <s v="Nuevo León"/>
  </r>
  <r>
    <x v="5"/>
    <n v="0"/>
    <x v="0"/>
    <s v="Cliente 03"/>
    <x v="5"/>
    <s v="Nuevo León"/>
  </r>
  <r>
    <x v="6"/>
    <n v="0"/>
    <x v="0"/>
    <s v="Cliente 03"/>
    <x v="5"/>
    <s v="Nuevo León"/>
  </r>
  <r>
    <x v="7"/>
    <n v="0"/>
    <x v="0"/>
    <s v="Cliente 03"/>
    <x v="5"/>
    <s v="Nuevo León"/>
  </r>
  <r>
    <x v="8"/>
    <n v="0"/>
    <x v="0"/>
    <s v="Cliente 03"/>
    <x v="5"/>
    <s v="Nuevo León"/>
  </r>
  <r>
    <x v="9"/>
    <n v="0"/>
    <x v="0"/>
    <s v="Cliente 03"/>
    <x v="5"/>
    <s v="Nuevo León"/>
  </r>
  <r>
    <x v="10"/>
    <n v="0"/>
    <x v="0"/>
    <s v="Cliente 03"/>
    <x v="5"/>
    <s v="Nuevo León"/>
  </r>
  <r>
    <x v="11"/>
    <n v="0"/>
    <x v="0"/>
    <s v="Cliente 03"/>
    <x v="5"/>
    <s v="Nuevo León"/>
  </r>
  <r>
    <x v="0"/>
    <n v="0"/>
    <x v="1"/>
    <s v="Cliente 03"/>
    <x v="5"/>
    <s v="Nuevo León"/>
  </r>
  <r>
    <x v="1"/>
    <n v="0"/>
    <x v="1"/>
    <s v="Cliente 03"/>
    <x v="5"/>
    <s v="Nuevo León"/>
  </r>
  <r>
    <x v="2"/>
    <n v="0"/>
    <x v="1"/>
    <s v="Cliente 03"/>
    <x v="5"/>
    <s v="Nuevo León"/>
  </r>
  <r>
    <x v="3"/>
    <n v="0"/>
    <x v="1"/>
    <s v="Cliente 03"/>
    <x v="5"/>
    <s v="Nuevo León"/>
  </r>
  <r>
    <x v="4"/>
    <m/>
    <x v="1"/>
    <s v="Cliente 03"/>
    <x v="5"/>
    <s v="Nuevo León"/>
  </r>
  <r>
    <x v="0"/>
    <n v="969643.3"/>
    <x v="0"/>
    <s v="Cliente 03"/>
    <x v="6"/>
    <s v="Quintana Roo"/>
  </r>
  <r>
    <x v="1"/>
    <n v="1160857.3500000001"/>
    <x v="0"/>
    <s v="Cliente 03"/>
    <x v="6"/>
    <s v="Quintana Roo"/>
  </r>
  <r>
    <x v="2"/>
    <n v="1321910.72"/>
    <x v="0"/>
    <s v="Cliente 03"/>
    <x v="6"/>
    <s v="Quintana Roo"/>
  </r>
  <r>
    <x v="3"/>
    <n v="2523233.42"/>
    <x v="0"/>
    <s v="Cliente 03"/>
    <x v="6"/>
    <s v="Quintana Roo"/>
  </r>
  <r>
    <x v="4"/>
    <n v="6223.3999999999069"/>
    <x v="0"/>
    <s v="Cliente 03"/>
    <x v="6"/>
    <s v="Quintana Roo"/>
  </r>
  <r>
    <x v="5"/>
    <n v="2459025.1995999999"/>
    <x v="0"/>
    <s v="Cliente 03"/>
    <x v="6"/>
    <s v="Quintana Roo"/>
  </r>
  <r>
    <x v="6"/>
    <n v="1628252.5715999994"/>
    <x v="0"/>
    <s v="Cliente 03"/>
    <x v="6"/>
    <s v="Quintana Roo"/>
  </r>
  <r>
    <x v="7"/>
    <n v="1367360.8575999995"/>
    <x v="0"/>
    <s v="Cliente 03"/>
    <x v="6"/>
    <s v="Quintana Roo"/>
  </r>
  <r>
    <x v="8"/>
    <n v="1265533.3779999991"/>
    <x v="0"/>
    <s v="Cliente 03"/>
    <x v="6"/>
    <s v="Quintana Roo"/>
  </r>
  <r>
    <x v="9"/>
    <n v="1310826.8999999999"/>
    <x v="0"/>
    <s v="Cliente 03"/>
    <x v="6"/>
    <s v="Quintana Roo"/>
  </r>
  <r>
    <x v="10"/>
    <n v="2398265.9888000004"/>
    <x v="0"/>
    <s v="Cliente 03"/>
    <x v="6"/>
    <s v="Quintana Roo"/>
  </r>
  <r>
    <x v="11"/>
    <n v="1166177.0811999999"/>
    <x v="0"/>
    <s v="Cliente 03"/>
    <x v="6"/>
    <s v="Quintana Roo"/>
  </r>
  <r>
    <x v="0"/>
    <n v="1101980.4900000002"/>
    <x v="1"/>
    <s v="Cliente 03"/>
    <x v="6"/>
    <s v="Quintana Roo"/>
  </r>
  <r>
    <x v="1"/>
    <n v="1490255.3983999998"/>
    <x v="1"/>
    <s v="Cliente 03"/>
    <x v="6"/>
    <s v="Quintana Roo"/>
  </r>
  <r>
    <x v="2"/>
    <n v="1600163.6243999931"/>
    <x v="1"/>
    <s v="Cliente 03"/>
    <x v="6"/>
    <s v="Quintana Roo"/>
  </r>
  <r>
    <x v="3"/>
    <n v="1671891.3887999998"/>
    <x v="1"/>
    <s v="Cliente 03"/>
    <x v="6"/>
    <s v="Quintana Roo"/>
  </r>
  <r>
    <x v="4"/>
    <m/>
    <x v="1"/>
    <s v="Cliente 03"/>
    <x v="6"/>
    <s v="Quintana Roo"/>
  </r>
  <r>
    <x v="0"/>
    <n v="8011715.8991999999"/>
    <x v="0"/>
    <s v="Cliente 03"/>
    <x v="7"/>
    <s v="CDMX"/>
  </r>
  <r>
    <x v="1"/>
    <n v="5927290.4899999993"/>
    <x v="0"/>
    <s v="Cliente 03"/>
    <x v="7"/>
    <s v="CDMX"/>
  </r>
  <r>
    <x v="2"/>
    <n v="2700437.77"/>
    <x v="0"/>
    <s v="Cliente 03"/>
    <x v="7"/>
    <s v="CDMX"/>
  </r>
  <r>
    <x v="3"/>
    <n v="5130770.9899999993"/>
    <x v="0"/>
    <s v="Cliente 03"/>
    <x v="7"/>
    <s v="CDMX"/>
  </r>
  <r>
    <x v="4"/>
    <n v="100764.11920000068"/>
    <x v="0"/>
    <s v="Cliente 03"/>
    <x v="7"/>
    <s v="CDMX"/>
  </r>
  <r>
    <x v="5"/>
    <n v="4675857.7576000001"/>
    <x v="0"/>
    <s v="Cliente 03"/>
    <x v="7"/>
    <s v="CDMX"/>
  </r>
  <r>
    <x v="6"/>
    <n v="2763096.3011999978"/>
    <x v="0"/>
    <s v="Cliente 03"/>
    <x v="7"/>
    <s v="CDMX"/>
  </r>
  <r>
    <x v="7"/>
    <n v="2766562.1956000007"/>
    <x v="0"/>
    <s v="Cliente 03"/>
    <x v="7"/>
    <s v="CDMX"/>
  </r>
  <r>
    <x v="8"/>
    <n v="3523536.9923999924"/>
    <x v="0"/>
    <s v="Cliente 03"/>
    <x v="7"/>
    <s v="CDMX"/>
  </r>
  <r>
    <x v="9"/>
    <n v="2522795.7499999995"/>
    <x v="0"/>
    <s v="Cliente 03"/>
    <x v="7"/>
    <s v="CDMX"/>
  </r>
  <r>
    <x v="10"/>
    <n v="2338182.7447999991"/>
    <x v="0"/>
    <s v="Cliente 03"/>
    <x v="7"/>
    <s v="CDMX"/>
  </r>
  <r>
    <x v="11"/>
    <n v="2968618.2456"/>
    <x v="0"/>
    <s v="Cliente 03"/>
    <x v="7"/>
    <s v="CDMX"/>
  </r>
  <r>
    <x v="0"/>
    <n v="5829997.4799999995"/>
    <x v="1"/>
    <s v="Cliente 03"/>
    <x v="7"/>
    <s v="CDMX"/>
  </r>
  <r>
    <x v="1"/>
    <n v="2591746.5300000003"/>
    <x v="1"/>
    <s v="Cliente 03"/>
    <x v="7"/>
    <s v="CDMX"/>
  </r>
  <r>
    <x v="2"/>
    <n v="2453115.4700000011"/>
    <x v="1"/>
    <s v="Cliente 03"/>
    <x v="7"/>
    <s v="CDMX"/>
  </r>
  <r>
    <x v="3"/>
    <n v="2463749.0288"/>
    <x v="1"/>
    <s v="Cliente 03"/>
    <x v="7"/>
    <s v="CDMX"/>
  </r>
  <r>
    <x v="4"/>
    <m/>
    <x v="1"/>
    <s v="Cliente 03"/>
    <x v="7"/>
    <s v="CDMX"/>
  </r>
  <r>
    <x v="0"/>
    <n v="0"/>
    <x v="0"/>
    <s v="Cliente 03"/>
    <x v="8"/>
    <s v="Jalisco"/>
  </r>
  <r>
    <x v="1"/>
    <n v="0"/>
    <x v="0"/>
    <s v="Cliente 03"/>
    <x v="8"/>
    <s v="Jalisco"/>
  </r>
  <r>
    <x v="2"/>
    <n v="0"/>
    <x v="0"/>
    <s v="Cliente 03"/>
    <x v="8"/>
    <s v="Jalisco"/>
  </r>
  <r>
    <x v="3"/>
    <n v="0"/>
    <x v="0"/>
    <s v="Cliente 03"/>
    <x v="8"/>
    <s v="Jalisco"/>
  </r>
  <r>
    <x v="4"/>
    <n v="0"/>
    <x v="0"/>
    <s v="Cliente 03"/>
    <x v="8"/>
    <s v="Jalisco"/>
  </r>
  <r>
    <x v="5"/>
    <n v="0"/>
    <x v="0"/>
    <s v="Cliente 03"/>
    <x v="8"/>
    <s v="Jalisco"/>
  </r>
  <r>
    <x v="6"/>
    <n v="0"/>
    <x v="0"/>
    <s v="Cliente 03"/>
    <x v="8"/>
    <s v="Jalisco"/>
  </r>
  <r>
    <x v="7"/>
    <n v="0"/>
    <x v="0"/>
    <s v="Cliente 03"/>
    <x v="8"/>
    <s v="Jalisco"/>
  </r>
  <r>
    <x v="8"/>
    <n v="0"/>
    <x v="0"/>
    <s v="Cliente 03"/>
    <x v="8"/>
    <s v="Jalisco"/>
  </r>
  <r>
    <x v="9"/>
    <n v="0"/>
    <x v="0"/>
    <s v="Cliente 03"/>
    <x v="8"/>
    <s v="Jalisco"/>
  </r>
  <r>
    <x v="10"/>
    <n v="0"/>
    <x v="0"/>
    <s v="Cliente 03"/>
    <x v="8"/>
    <s v="Jalisco"/>
  </r>
  <r>
    <x v="11"/>
    <n v="0"/>
    <x v="0"/>
    <s v="Cliente 03"/>
    <x v="8"/>
    <s v="Jalisco"/>
  </r>
  <r>
    <x v="0"/>
    <n v="0"/>
    <x v="1"/>
    <s v="Cliente 03"/>
    <x v="8"/>
    <s v="Jalisco"/>
  </r>
  <r>
    <x v="1"/>
    <n v="0"/>
    <x v="1"/>
    <s v="Cliente 03"/>
    <x v="8"/>
    <s v="Jalisco"/>
  </r>
  <r>
    <x v="2"/>
    <n v="0"/>
    <x v="1"/>
    <s v="Cliente 03"/>
    <x v="8"/>
    <s v="Jalisco"/>
  </r>
  <r>
    <x v="3"/>
    <n v="0"/>
    <x v="1"/>
    <s v="Cliente 03"/>
    <x v="8"/>
    <s v="Jalisco"/>
  </r>
  <r>
    <x v="4"/>
    <m/>
    <x v="1"/>
    <s v="Cliente 03"/>
    <x v="8"/>
    <s v="Jalisco"/>
  </r>
  <r>
    <x v="0"/>
    <n v="249090.27999999997"/>
    <x v="0"/>
    <s v="Cliente 02"/>
    <x v="0"/>
    <s v="Oaxaca"/>
  </r>
  <r>
    <x v="1"/>
    <n v="396337.19640000002"/>
    <x v="0"/>
    <s v="Cliente 02"/>
    <x v="0"/>
    <s v="Oaxaca"/>
  </r>
  <r>
    <x v="2"/>
    <n v="404756.48000000004"/>
    <x v="0"/>
    <s v="Cliente 02"/>
    <x v="0"/>
    <s v="Oaxaca"/>
  </r>
  <r>
    <x v="3"/>
    <n v="322984.60000000003"/>
    <x v="0"/>
    <s v="Cliente 02"/>
    <x v="0"/>
    <s v="Oaxaca"/>
  </r>
  <r>
    <x v="4"/>
    <n v="291997.52040000004"/>
    <x v="0"/>
    <s v="Cliente 02"/>
    <x v="0"/>
    <s v="Oaxaca"/>
  </r>
  <r>
    <x v="5"/>
    <n v="277127.48000000278"/>
    <x v="0"/>
    <s v="Cliente 02"/>
    <x v="0"/>
    <s v="Oaxaca"/>
  </r>
  <r>
    <x v="6"/>
    <n v="343325.20000000118"/>
    <x v="0"/>
    <s v="Cliente 02"/>
    <x v="0"/>
    <s v="Oaxaca"/>
  </r>
  <r>
    <x v="7"/>
    <n v="489265.96000000398"/>
    <x v="0"/>
    <s v="Cliente 02"/>
    <x v="0"/>
    <s v="Oaxaca"/>
  </r>
  <r>
    <x v="8"/>
    <n v="398362.56000000256"/>
    <x v="0"/>
    <s v="Cliente 02"/>
    <x v="0"/>
    <s v="Oaxaca"/>
  </r>
  <r>
    <x v="9"/>
    <n v="343514.28000000177"/>
    <x v="0"/>
    <s v="Cliente 02"/>
    <x v="0"/>
    <s v="Oaxaca"/>
  </r>
  <r>
    <x v="10"/>
    <n v="333132.28000000323"/>
    <x v="0"/>
    <s v="Cliente 02"/>
    <x v="0"/>
    <s v="Oaxaca"/>
  </r>
  <r>
    <x v="11"/>
    <n v="332142.80000000168"/>
    <x v="0"/>
    <s v="Cliente 02"/>
    <x v="0"/>
    <s v="Oaxaca"/>
  </r>
  <r>
    <x v="0"/>
    <n v="290018.56000000093"/>
    <x v="1"/>
    <s v="Cliente 02"/>
    <x v="0"/>
    <s v="Oaxaca"/>
  </r>
  <r>
    <x v="1"/>
    <n v="315836.6800000004"/>
    <x v="1"/>
    <s v="Cliente 02"/>
    <x v="0"/>
    <s v="Oaxaca"/>
  </r>
  <r>
    <x v="2"/>
    <n v="347919.95999999985"/>
    <x v="1"/>
    <s v="Cliente 02"/>
    <x v="0"/>
    <s v="Oaxaca"/>
  </r>
  <r>
    <x v="3"/>
    <n v="420454.9224000051"/>
    <x v="1"/>
    <s v="Cliente 02"/>
    <x v="0"/>
    <s v="Oaxaca"/>
  </r>
  <r>
    <x v="4"/>
    <n v="281705.99999999994"/>
    <x v="1"/>
    <s v="Cliente 02"/>
    <x v="0"/>
    <s v="Oaxaca"/>
  </r>
  <r>
    <x v="0"/>
    <n v="190214.92"/>
    <x v="0"/>
    <s v="Cliente 02"/>
    <x v="1"/>
    <s v="Campeche"/>
  </r>
  <r>
    <x v="1"/>
    <n v="322743.15000000002"/>
    <x v="0"/>
    <s v="Cliente 02"/>
    <x v="1"/>
    <s v="Campeche"/>
  </r>
  <r>
    <x v="2"/>
    <n v="347345.37000000011"/>
    <x v="0"/>
    <s v="Cliente 02"/>
    <x v="1"/>
    <s v="Campeche"/>
  </r>
  <r>
    <x v="3"/>
    <n v="192448.25999999989"/>
    <x v="0"/>
    <s v="Cliente 02"/>
    <x v="1"/>
    <s v="Campeche"/>
  </r>
  <r>
    <x v="4"/>
    <n v="229181.33199999994"/>
    <x v="0"/>
    <s v="Cliente 02"/>
    <x v="1"/>
    <s v="Campeche"/>
  </r>
  <r>
    <x v="5"/>
    <n v="316773.57719999948"/>
    <x v="0"/>
    <s v="Cliente 02"/>
    <x v="1"/>
    <s v="Campeche"/>
  </r>
  <r>
    <x v="6"/>
    <n v="324536.48279999848"/>
    <x v="0"/>
    <s v="Cliente 02"/>
    <x v="1"/>
    <s v="Campeche"/>
  </r>
  <r>
    <x v="7"/>
    <n v="422614.69159999792"/>
    <x v="0"/>
    <s v="Cliente 02"/>
    <x v="1"/>
    <s v="Campeche"/>
  </r>
  <r>
    <x v="8"/>
    <n v="384783.68120000145"/>
    <x v="0"/>
    <s v="Cliente 02"/>
    <x v="1"/>
    <s v="Campeche"/>
  </r>
  <r>
    <x v="9"/>
    <n v="210980.45200000002"/>
    <x v="0"/>
    <s v="Cliente 02"/>
    <x v="1"/>
    <s v="Campeche"/>
  </r>
  <r>
    <x v="10"/>
    <n v="293474.80319999979"/>
    <x v="0"/>
    <s v="Cliente 02"/>
    <x v="1"/>
    <s v="Campeche"/>
  </r>
  <r>
    <x v="11"/>
    <n v="320533.83320000034"/>
    <x v="0"/>
    <s v="Cliente 02"/>
    <x v="1"/>
    <s v="Campeche"/>
  </r>
  <r>
    <x v="0"/>
    <n v="272528.52079999476"/>
    <x v="1"/>
    <s v="Cliente 02"/>
    <x v="1"/>
    <s v="Campeche"/>
  </r>
  <r>
    <x v="1"/>
    <n v="371991.11999999691"/>
    <x v="1"/>
    <s v="Cliente 02"/>
    <x v="1"/>
    <s v="Campeche"/>
  </r>
  <r>
    <x v="2"/>
    <n v="334562.55999999738"/>
    <x v="1"/>
    <s v="Cliente 02"/>
    <x v="1"/>
    <s v="Campeche"/>
  </r>
  <r>
    <x v="3"/>
    <n v="928750.5200000247"/>
    <x v="1"/>
    <s v="Cliente 02"/>
    <x v="1"/>
    <s v="Campeche"/>
  </r>
  <r>
    <x v="4"/>
    <n v="396855.70839999756"/>
    <x v="1"/>
    <s v="Cliente 02"/>
    <x v="1"/>
    <s v="Campeche"/>
  </r>
  <r>
    <x v="0"/>
    <n v="288253.04000000004"/>
    <x v="0"/>
    <s v="Cliente 02"/>
    <x v="2"/>
    <s v="Guerrero"/>
  </r>
  <r>
    <x v="1"/>
    <n v="315951.33000000013"/>
    <x v="0"/>
    <s v="Cliente 02"/>
    <x v="2"/>
    <s v="Guerrero"/>
  </r>
  <r>
    <x v="2"/>
    <n v="355311.48000000004"/>
    <x v="0"/>
    <s v="Cliente 02"/>
    <x v="2"/>
    <s v="Guerrero"/>
  </r>
  <r>
    <x v="3"/>
    <n v="311099.81999999995"/>
    <x v="0"/>
    <s v="Cliente 02"/>
    <x v="2"/>
    <s v="Guerrero"/>
  </r>
  <r>
    <x v="4"/>
    <n v="243924.22400000005"/>
    <x v="0"/>
    <s v="Cliente 02"/>
    <x v="2"/>
    <s v="Guerrero"/>
  </r>
  <r>
    <x v="5"/>
    <n v="281956.55999999965"/>
    <x v="0"/>
    <s v="Cliente 02"/>
    <x v="2"/>
    <s v="Guerrero"/>
  </r>
  <r>
    <x v="6"/>
    <n v="390993.65999999712"/>
    <x v="0"/>
    <s v="Cliente 02"/>
    <x v="2"/>
    <s v="Guerrero"/>
  </r>
  <r>
    <x v="7"/>
    <n v="513736.15999999637"/>
    <x v="0"/>
    <s v="Cliente 02"/>
    <x v="2"/>
    <s v="Guerrero"/>
  </r>
  <r>
    <x v="8"/>
    <n v="356233.6799999958"/>
    <x v="0"/>
    <s v="Cliente 02"/>
    <x v="2"/>
    <s v="Guerrero"/>
  </r>
  <r>
    <x v="9"/>
    <n v="429839.15999999637"/>
    <x v="0"/>
    <s v="Cliente 02"/>
    <x v="2"/>
    <s v="Guerrero"/>
  </r>
  <r>
    <x v="10"/>
    <n v="443910.53999998647"/>
    <x v="0"/>
    <s v="Cliente 02"/>
    <x v="2"/>
    <s v="Guerrero"/>
  </r>
  <r>
    <x v="11"/>
    <n v="446777.4799999987"/>
    <x v="0"/>
    <s v="Cliente 02"/>
    <x v="2"/>
    <s v="Guerrero"/>
  </r>
  <r>
    <x v="0"/>
    <n v="440268.71999999491"/>
    <x v="1"/>
    <s v="Cliente 02"/>
    <x v="2"/>
    <s v="Guerrero"/>
  </r>
  <r>
    <x v="1"/>
    <n v="447073.27999999392"/>
    <x v="1"/>
    <s v="Cliente 02"/>
    <x v="2"/>
    <s v="Guerrero"/>
  </r>
  <r>
    <x v="2"/>
    <n v="510054.31999999366"/>
    <x v="1"/>
    <s v="Cliente 02"/>
    <x v="2"/>
    <s v="Guerrero"/>
  </r>
  <r>
    <x v="3"/>
    <n v="511038.00000000629"/>
    <x v="1"/>
    <s v="Cliente 02"/>
    <x v="2"/>
    <s v="Guerrero"/>
  </r>
  <r>
    <x v="4"/>
    <n v="413671.07999999466"/>
    <x v="1"/>
    <s v="Cliente 02"/>
    <x v="2"/>
    <s v="Guerrero"/>
  </r>
  <r>
    <x v="0"/>
    <n v="713798"/>
    <x v="0"/>
    <s v="Cliente 02"/>
    <x v="3"/>
    <s v="Yucatán"/>
  </r>
  <r>
    <x v="1"/>
    <n v="910574.62999999989"/>
    <x v="0"/>
    <s v="Cliente 02"/>
    <x v="3"/>
    <s v="Yucatán"/>
  </r>
  <r>
    <x v="2"/>
    <n v="1174987.3699999996"/>
    <x v="0"/>
    <s v="Cliente 02"/>
    <x v="3"/>
    <s v="Yucatán"/>
  </r>
  <r>
    <x v="3"/>
    <n v="1029312.0799999998"/>
    <x v="0"/>
    <s v="Cliente 02"/>
    <x v="3"/>
    <s v="Yucatán"/>
  </r>
  <r>
    <x v="4"/>
    <n v="1136810.6743999999"/>
    <x v="0"/>
    <s v="Cliente 02"/>
    <x v="3"/>
    <s v="Yucatán"/>
  </r>
  <r>
    <x v="5"/>
    <n v="1350911.7443999301"/>
    <x v="0"/>
    <s v="Cliente 02"/>
    <x v="3"/>
    <s v="Yucatán"/>
  </r>
  <r>
    <x v="6"/>
    <n v="1380009.3699999179"/>
    <x v="0"/>
    <s v="Cliente 02"/>
    <x v="3"/>
    <s v="Yucatán"/>
  </r>
  <r>
    <x v="7"/>
    <n v="1390789.4355999099"/>
    <x v="0"/>
    <s v="Cliente 02"/>
    <x v="3"/>
    <s v="Yucatán"/>
  </r>
  <r>
    <x v="8"/>
    <n v="1265446.412799984"/>
    <x v="0"/>
    <s v="Cliente 02"/>
    <x v="3"/>
    <s v="Yucatán"/>
  </r>
  <r>
    <x v="9"/>
    <n v="1294847.5639999676"/>
    <x v="0"/>
    <s v="Cliente 02"/>
    <x v="3"/>
    <s v="Yucatán"/>
  </r>
  <r>
    <x v="10"/>
    <n v="1079626.8711999881"/>
    <x v="0"/>
    <s v="Cliente 02"/>
    <x v="3"/>
    <s v="Yucatán"/>
  </r>
  <r>
    <x v="11"/>
    <n v="1436311.199599992"/>
    <x v="0"/>
    <s v="Cliente 02"/>
    <x v="3"/>
    <s v="Yucatán"/>
  </r>
  <r>
    <x v="0"/>
    <n v="1148076.5803999756"/>
    <x v="1"/>
    <s v="Cliente 02"/>
    <x v="3"/>
    <s v="Yucatán"/>
  </r>
  <r>
    <x v="1"/>
    <n v="1210657.1999999222"/>
    <x v="1"/>
    <s v="Cliente 02"/>
    <x v="3"/>
    <s v="Yucatán"/>
  </r>
  <r>
    <x v="2"/>
    <n v="1298959.8799999389"/>
    <x v="1"/>
    <s v="Cliente 02"/>
    <x v="3"/>
    <s v="Yucatán"/>
  </r>
  <r>
    <x v="3"/>
    <n v="1429204.679999901"/>
    <x v="1"/>
    <s v="Cliente 02"/>
    <x v="3"/>
    <s v="Yucatán"/>
  </r>
  <r>
    <x v="4"/>
    <n v="805900.70839999057"/>
    <x v="1"/>
    <s v="Cliente 02"/>
    <x v="3"/>
    <s v="Yucatán"/>
  </r>
  <r>
    <x v="0"/>
    <n v="1017337.6999999997"/>
    <x v="0"/>
    <s v="Cliente 02"/>
    <x v="4"/>
    <s v="Veracruz"/>
  </r>
  <r>
    <x v="1"/>
    <n v="1438753.71"/>
    <x v="0"/>
    <s v="Cliente 02"/>
    <x v="4"/>
    <s v="Veracruz"/>
  </r>
  <r>
    <x v="2"/>
    <n v="899281.87999999989"/>
    <x v="0"/>
    <s v="Cliente 02"/>
    <x v="4"/>
    <s v="Veracruz"/>
  </r>
  <r>
    <x v="3"/>
    <n v="971814.35999999987"/>
    <x v="0"/>
    <s v="Cliente 02"/>
    <x v="4"/>
    <s v="Veracruz"/>
  </r>
  <r>
    <x v="4"/>
    <n v="827921.0051999999"/>
    <x v="0"/>
    <s v="Cliente 02"/>
    <x v="4"/>
    <s v="Veracruz"/>
  </r>
  <r>
    <x v="5"/>
    <n v="703688.48000000173"/>
    <x v="0"/>
    <s v="Cliente 02"/>
    <x v="4"/>
    <s v="Veracruz"/>
  </r>
  <r>
    <x v="6"/>
    <n v="945548.47999999183"/>
    <x v="0"/>
    <s v="Cliente 02"/>
    <x v="4"/>
    <s v="Veracruz"/>
  </r>
  <r>
    <x v="7"/>
    <n v="950363.63999998814"/>
    <x v="0"/>
    <s v="Cliente 02"/>
    <x v="4"/>
    <s v="Veracruz"/>
  </r>
  <r>
    <x v="8"/>
    <n v="736677.02400000393"/>
    <x v="0"/>
    <s v="Cliente 02"/>
    <x v="4"/>
    <s v="Veracruz"/>
  </r>
  <r>
    <x v="9"/>
    <n v="827505.256000016"/>
    <x v="0"/>
    <s v="Cliente 02"/>
    <x v="4"/>
    <s v="Veracruz"/>
  </r>
  <r>
    <x v="10"/>
    <n v="713213.24000000604"/>
    <x v="0"/>
    <s v="Cliente 02"/>
    <x v="4"/>
    <s v="Veracruz"/>
  </r>
  <r>
    <x v="11"/>
    <n v="762604.88000000012"/>
    <x v="0"/>
    <s v="Cliente 02"/>
    <x v="4"/>
    <s v="Veracruz"/>
  </r>
  <r>
    <x v="0"/>
    <n v="803861.44000000402"/>
    <x v="1"/>
    <s v="Cliente 02"/>
    <x v="4"/>
    <s v="Veracruz"/>
  </r>
  <r>
    <x v="1"/>
    <n v="774783.71999999916"/>
    <x v="1"/>
    <s v="Cliente 02"/>
    <x v="4"/>
    <s v="Veracruz"/>
  </r>
  <r>
    <x v="2"/>
    <n v="891621.23999999627"/>
    <x v="1"/>
    <s v="Cliente 02"/>
    <x v="4"/>
    <s v="Veracruz"/>
  </r>
  <r>
    <x v="3"/>
    <n v="976863.84000001696"/>
    <x v="1"/>
    <s v="Cliente 02"/>
    <x v="4"/>
    <s v="Veracruz"/>
  </r>
  <r>
    <x v="4"/>
    <n v="783585.8115999928"/>
    <x v="1"/>
    <s v="Cliente 02"/>
    <x v="4"/>
    <s v="Veracruz"/>
  </r>
  <r>
    <x v="0"/>
    <n v="641863.59999999939"/>
    <x v="0"/>
    <s v="Cliente 02"/>
    <x v="5"/>
    <s v="Nuevo León"/>
  </r>
  <r>
    <x v="1"/>
    <n v="1005195.2395998116"/>
    <x v="0"/>
    <s v="Cliente 02"/>
    <x v="5"/>
    <s v="Nuevo León"/>
  </r>
  <r>
    <x v="2"/>
    <n v="621895.7300000398"/>
    <x v="0"/>
    <s v="Cliente 02"/>
    <x v="5"/>
    <s v="Nuevo León"/>
  </r>
  <r>
    <x v="3"/>
    <n v="1291159.7300000438"/>
    <x v="0"/>
    <s v="Cliente 02"/>
    <x v="5"/>
    <s v="Nuevo León"/>
  </r>
  <r>
    <x v="4"/>
    <n v="1429141.3000000219"/>
    <x v="0"/>
    <s v="Cliente 02"/>
    <x v="5"/>
    <s v="Nuevo León"/>
  </r>
  <r>
    <x v="5"/>
    <n v="1813016.223199975"/>
    <x v="0"/>
    <s v="Cliente 02"/>
    <x v="5"/>
    <s v="Nuevo León"/>
  </r>
  <r>
    <x v="6"/>
    <n v="1667511.5999999689"/>
    <x v="0"/>
    <s v="Cliente 02"/>
    <x v="5"/>
    <s v="Nuevo León"/>
  </r>
  <r>
    <x v="7"/>
    <n v="2074078.1091999488"/>
    <x v="0"/>
    <s v="Cliente 02"/>
    <x v="5"/>
    <s v="Nuevo León"/>
  </r>
  <r>
    <x v="8"/>
    <n v="1684231.5615999887"/>
    <x v="0"/>
    <s v="Cliente 02"/>
    <x v="5"/>
    <s v="Nuevo León"/>
  </r>
  <r>
    <x v="9"/>
    <n v="2030207.0367999617"/>
    <x v="0"/>
    <s v="Cliente 02"/>
    <x v="5"/>
    <s v="Nuevo León"/>
  </r>
  <r>
    <x v="10"/>
    <n v="1997567.5136000011"/>
    <x v="0"/>
    <s v="Cliente 02"/>
    <x v="5"/>
    <s v="Nuevo León"/>
  </r>
  <r>
    <x v="11"/>
    <n v="2208717.928799978"/>
    <x v="0"/>
    <s v="Cliente 02"/>
    <x v="5"/>
    <s v="Nuevo León"/>
  </r>
  <r>
    <x v="0"/>
    <n v="1343748.1644000062"/>
    <x v="1"/>
    <s v="Cliente 02"/>
    <x v="5"/>
    <s v="Nuevo León"/>
  </r>
  <r>
    <x v="1"/>
    <n v="1849258.6600000795"/>
    <x v="1"/>
    <s v="Cliente 02"/>
    <x v="5"/>
    <s v="Nuevo León"/>
  </r>
  <r>
    <x v="2"/>
    <n v="2313994.680000111"/>
    <x v="1"/>
    <s v="Cliente 02"/>
    <x v="5"/>
    <s v="Nuevo León"/>
  </r>
  <r>
    <x v="3"/>
    <n v="2548208.5400001034"/>
    <x v="1"/>
    <s v="Cliente 02"/>
    <x v="5"/>
    <s v="Nuevo León"/>
  </r>
  <r>
    <x v="4"/>
    <n v="2242387.8800001061"/>
    <x v="1"/>
    <s v="Cliente 02"/>
    <x v="5"/>
    <s v="Nuevo León"/>
  </r>
  <r>
    <x v="0"/>
    <n v="95514.479999998584"/>
    <x v="0"/>
    <s v="Cliente 02"/>
    <x v="6"/>
    <s v="Quintana Roo"/>
  </r>
  <r>
    <x v="1"/>
    <n v="463428.26560001634"/>
    <x v="0"/>
    <s v="Cliente 02"/>
    <x v="6"/>
    <s v="Quintana Roo"/>
  </r>
  <r>
    <x v="2"/>
    <n v="630015.71999999939"/>
    <x v="0"/>
    <s v="Cliente 02"/>
    <x v="6"/>
    <s v="Quintana Roo"/>
  </r>
  <r>
    <x v="3"/>
    <n v="461668.69999999925"/>
    <x v="0"/>
    <s v="Cliente 02"/>
    <x v="6"/>
    <s v="Quintana Roo"/>
  </r>
  <r>
    <x v="4"/>
    <n v="930510.24000000069"/>
    <x v="0"/>
    <s v="Cliente 02"/>
    <x v="6"/>
    <s v="Quintana Roo"/>
  </r>
  <r>
    <x v="5"/>
    <n v="844793.1999999918"/>
    <x v="0"/>
    <s v="Cliente 02"/>
    <x v="6"/>
    <s v="Quintana Roo"/>
  </r>
  <r>
    <x v="6"/>
    <n v="698655.23999999743"/>
    <x v="0"/>
    <s v="Cliente 02"/>
    <x v="6"/>
    <s v="Quintana Roo"/>
  </r>
  <r>
    <x v="7"/>
    <n v="938898.19999999169"/>
    <x v="0"/>
    <s v="Cliente 02"/>
    <x v="6"/>
    <s v="Quintana Roo"/>
  </r>
  <r>
    <x v="8"/>
    <n v="560866.9600000038"/>
    <x v="0"/>
    <s v="Cliente 02"/>
    <x v="6"/>
    <s v="Quintana Roo"/>
  </r>
  <r>
    <x v="9"/>
    <n v="958182.03999999841"/>
    <x v="0"/>
    <s v="Cliente 02"/>
    <x v="6"/>
    <s v="Quintana Roo"/>
  </r>
  <r>
    <x v="10"/>
    <n v="555634.20000000589"/>
    <x v="0"/>
    <s v="Cliente 02"/>
    <x v="6"/>
    <s v="Quintana Roo"/>
  </r>
  <r>
    <x v="11"/>
    <n v="1306069.519999994"/>
    <x v="0"/>
    <s v="Cliente 02"/>
    <x v="6"/>
    <s v="Quintana Roo"/>
  </r>
  <r>
    <x v="0"/>
    <n v="542743.12000000791"/>
    <x v="1"/>
    <s v="Cliente 02"/>
    <x v="6"/>
    <s v="Quintana Roo"/>
  </r>
  <r>
    <x v="1"/>
    <n v="784330.52000001201"/>
    <x v="1"/>
    <s v="Cliente 02"/>
    <x v="6"/>
    <s v="Quintana Roo"/>
  </r>
  <r>
    <x v="2"/>
    <n v="761799.84000001918"/>
    <x v="1"/>
    <s v="Cliente 02"/>
    <x v="6"/>
    <s v="Quintana Roo"/>
  </r>
  <r>
    <x v="3"/>
    <n v="1055479.3600000127"/>
    <x v="1"/>
    <s v="Cliente 02"/>
    <x v="6"/>
    <s v="Quintana Roo"/>
  </r>
  <r>
    <x v="4"/>
    <n v="667901.32000000845"/>
    <x v="1"/>
    <s v="Cliente 02"/>
    <x v="6"/>
    <s v="Quintana Roo"/>
  </r>
  <r>
    <x v="0"/>
    <n v="8518337.1608000007"/>
    <x v="0"/>
    <s v="Cliente 02"/>
    <x v="7"/>
    <s v="CDMX"/>
  </r>
  <r>
    <x v="1"/>
    <n v="11792226.314800244"/>
    <x v="0"/>
    <s v="Cliente 02"/>
    <x v="7"/>
    <s v="CDMX"/>
  </r>
  <r>
    <x v="2"/>
    <n v="8130514.5484007001"/>
    <x v="0"/>
    <s v="Cliente 02"/>
    <x v="7"/>
    <s v="CDMX"/>
  </r>
  <r>
    <x v="3"/>
    <n v="10422392.76719969"/>
    <x v="0"/>
    <s v="Cliente 02"/>
    <x v="7"/>
    <s v="CDMX"/>
  </r>
  <r>
    <x v="4"/>
    <n v="10595586.603199802"/>
    <x v="0"/>
    <s v="Cliente 02"/>
    <x v="7"/>
    <s v="CDMX"/>
  </r>
  <r>
    <x v="5"/>
    <n v="11003202.550399989"/>
    <x v="0"/>
    <s v="Cliente 02"/>
    <x v="7"/>
    <s v="CDMX"/>
  </r>
  <r>
    <x v="6"/>
    <n v="11137237.557599943"/>
    <x v="0"/>
    <s v="Cliente 02"/>
    <x v="7"/>
    <s v="CDMX"/>
  </r>
  <r>
    <x v="7"/>
    <n v="13876117.281199727"/>
    <x v="0"/>
    <s v="Cliente 02"/>
    <x v="7"/>
    <s v="CDMX"/>
  </r>
  <r>
    <x v="8"/>
    <n v="11947096.696399651"/>
    <x v="0"/>
    <s v="Cliente 02"/>
    <x v="7"/>
    <s v="CDMX"/>
  </r>
  <r>
    <x v="9"/>
    <n v="14453879.791999122"/>
    <x v="0"/>
    <s v="Cliente 02"/>
    <x v="7"/>
    <s v="CDMX"/>
  </r>
  <r>
    <x v="10"/>
    <n v="13549311.246800715"/>
    <x v="0"/>
    <s v="Cliente 02"/>
    <x v="7"/>
    <s v="CDMX"/>
  </r>
  <r>
    <x v="11"/>
    <n v="12390824.687200144"/>
    <x v="0"/>
    <s v="Cliente 02"/>
    <x v="7"/>
    <s v="CDMX"/>
  </r>
  <r>
    <x v="0"/>
    <n v="8688767.1979999859"/>
    <x v="1"/>
    <s v="Cliente 02"/>
    <x v="7"/>
    <s v="CDMX"/>
  </r>
  <r>
    <x v="1"/>
    <n v="11513804.019199923"/>
    <x v="1"/>
    <s v="Cliente 02"/>
    <x v="7"/>
    <s v="CDMX"/>
  </r>
  <r>
    <x v="2"/>
    <n v="13140868.414399926"/>
    <x v="1"/>
    <s v="Cliente 02"/>
    <x v="7"/>
    <s v="CDMX"/>
  </r>
  <r>
    <x v="3"/>
    <n v="13670472.153599968"/>
    <x v="1"/>
    <s v="Cliente 02"/>
    <x v="7"/>
    <s v="CDMX"/>
  </r>
  <r>
    <x v="4"/>
    <n v="11935516.401999779"/>
    <x v="1"/>
    <s v="Cliente 02"/>
    <x v="7"/>
    <s v="CDMX"/>
  </r>
  <r>
    <x v="0"/>
    <n v="398393.65999999968"/>
    <x v="0"/>
    <s v="Cliente 02"/>
    <x v="8"/>
    <s v="Jalisco"/>
  </r>
  <r>
    <x v="1"/>
    <n v="890525.04"/>
    <x v="0"/>
    <s v="Cliente 02"/>
    <x v="8"/>
    <s v="Jalisco"/>
  </r>
  <r>
    <x v="2"/>
    <n v="727889.56"/>
    <x v="0"/>
    <s v="Cliente 02"/>
    <x v="8"/>
    <s v="Jalisco"/>
  </r>
  <r>
    <x v="3"/>
    <n v="691817.04"/>
    <x v="0"/>
    <s v="Cliente 02"/>
    <x v="8"/>
    <s v="Jalisco"/>
  </r>
  <r>
    <x v="4"/>
    <n v="573378.72"/>
    <x v="0"/>
    <s v="Cliente 02"/>
    <x v="8"/>
    <s v="Jalisco"/>
  </r>
  <r>
    <x v="5"/>
    <n v="657960.12000000186"/>
    <x v="0"/>
    <s v="Cliente 02"/>
    <x v="8"/>
    <s v="Jalisco"/>
  </r>
  <r>
    <x v="6"/>
    <n v="587442.55999999726"/>
    <x v="0"/>
    <s v="Cliente 02"/>
    <x v="8"/>
    <s v="Jalisco"/>
  </r>
  <r>
    <x v="7"/>
    <n v="788700.24000000069"/>
    <x v="0"/>
    <s v="Cliente 02"/>
    <x v="8"/>
    <s v="Jalisco"/>
  </r>
  <r>
    <x v="8"/>
    <n v="589804.32000000146"/>
    <x v="0"/>
    <s v="Cliente 02"/>
    <x v="8"/>
    <s v="Jalisco"/>
  </r>
  <r>
    <x v="9"/>
    <n v="667071.92000000551"/>
    <x v="0"/>
    <s v="Cliente 02"/>
    <x v="8"/>
    <s v="Jalisco"/>
  </r>
  <r>
    <x v="10"/>
    <n v="816211.95999999426"/>
    <x v="0"/>
    <s v="Cliente 02"/>
    <x v="8"/>
    <s v="Jalisco"/>
  </r>
  <r>
    <x v="11"/>
    <n v="1153711.6399999999"/>
    <x v="0"/>
    <s v="Cliente 02"/>
    <x v="8"/>
    <s v="Jalisco"/>
  </r>
  <r>
    <x v="0"/>
    <n v="649517.64000000758"/>
    <x v="1"/>
    <s v="Cliente 02"/>
    <x v="8"/>
    <s v="Jalisco"/>
  </r>
  <r>
    <x v="1"/>
    <n v="857553.20000000286"/>
    <x v="1"/>
    <s v="Cliente 02"/>
    <x v="8"/>
    <s v="Jalisco"/>
  </r>
  <r>
    <x v="2"/>
    <n v="1090172.6400000015"/>
    <x v="1"/>
    <s v="Cliente 02"/>
    <x v="8"/>
    <s v="Jalisco"/>
  </r>
  <r>
    <x v="3"/>
    <n v="1123386.9199999946"/>
    <x v="1"/>
    <s v="Cliente 02"/>
    <x v="8"/>
    <s v="Jalisco"/>
  </r>
  <r>
    <x v="4"/>
    <n v="719682.55999998783"/>
    <x v="1"/>
    <s v="Cliente 02"/>
    <x v="8"/>
    <s v="Jalisco"/>
  </r>
  <r>
    <x v="0"/>
    <n v="56764976.169999994"/>
    <x v="0"/>
    <s v="Cliente 01"/>
    <x v="9"/>
    <s v="México"/>
  </r>
  <r>
    <x v="1"/>
    <n v="50535293.071200326"/>
    <x v="0"/>
    <s v="Cliente 01"/>
    <x v="9"/>
    <s v="México"/>
  </r>
  <r>
    <x v="2"/>
    <n v="32121974.558000654"/>
    <x v="0"/>
    <s v="Cliente 01"/>
    <x v="9"/>
    <s v="México"/>
  </r>
  <r>
    <x v="3"/>
    <n v="28301840.25280026"/>
    <x v="0"/>
    <s v="Cliente 01"/>
    <x v="9"/>
    <s v="México"/>
  </r>
  <r>
    <x v="4"/>
    <n v="23469917.917600181"/>
    <x v="0"/>
    <s v="Cliente 01"/>
    <x v="9"/>
    <s v="México"/>
  </r>
  <r>
    <x v="5"/>
    <n v="18281607.79400003"/>
    <x v="0"/>
    <s v="Cliente 01"/>
    <x v="9"/>
    <s v="México"/>
  </r>
  <r>
    <x v="6"/>
    <n v="31612197.190000534"/>
    <x v="0"/>
    <s v="Cliente 01"/>
    <x v="9"/>
    <s v="México"/>
  </r>
  <r>
    <x v="7"/>
    <n v="49606629.133614138"/>
    <x v="0"/>
    <s v="Cliente 01"/>
    <x v="9"/>
    <s v="México"/>
  </r>
  <r>
    <x v="8"/>
    <n v="28342569.503600437"/>
    <x v="0"/>
    <s v="Cliente 01"/>
    <x v="9"/>
    <s v="México"/>
  </r>
  <r>
    <x v="9"/>
    <n v="20249091.419999998"/>
    <x v="0"/>
    <s v="Cliente 01"/>
    <x v="9"/>
    <s v="México"/>
  </r>
  <r>
    <x v="10"/>
    <n v="24706882.664800003"/>
    <x v="0"/>
    <s v="Cliente 01"/>
    <x v="9"/>
    <s v="México"/>
  </r>
  <r>
    <x v="11"/>
    <n v="46950102.773999788"/>
    <x v="0"/>
    <s v="Cliente 01"/>
    <x v="9"/>
    <s v="México"/>
  </r>
  <r>
    <x v="0"/>
    <n v="71906137.624352232"/>
    <x v="1"/>
    <s v="Cliente 01"/>
    <x v="9"/>
    <s v="México"/>
  </r>
  <r>
    <x v="1"/>
    <n v="31371858.959999762"/>
    <x v="1"/>
    <s v="Cliente 01"/>
    <x v="9"/>
    <s v="México"/>
  </r>
  <r>
    <x v="2"/>
    <n v="15641975.91999978"/>
    <x v="1"/>
    <s v="Cliente 01"/>
    <x v="9"/>
    <s v="México"/>
  </r>
  <r>
    <x v="3"/>
    <n v="6805793.480000074"/>
    <x v="1"/>
    <s v="Cliente 01"/>
    <x v="9"/>
    <s v="México"/>
  </r>
  <r>
    <x v="4"/>
    <n v="5000066.3199999938"/>
    <x v="1"/>
    <s v="Cliente 01"/>
    <x v="9"/>
    <s v="México"/>
  </r>
  <r>
    <x v="0"/>
    <n v="12112802.840799998"/>
    <x v="0"/>
    <s v="Cliente 02"/>
    <x v="9"/>
    <s v="México"/>
  </r>
  <r>
    <x v="1"/>
    <n v="17535734.876400072"/>
    <x v="0"/>
    <s v="Cliente 02"/>
    <x v="9"/>
    <s v="México"/>
  </r>
  <r>
    <x v="2"/>
    <n v="13291998.138400739"/>
    <x v="0"/>
    <s v="Cliente 02"/>
    <x v="9"/>
    <s v="México"/>
  </r>
  <r>
    <x v="3"/>
    <n v="15694697.357199732"/>
    <x v="0"/>
    <s v="Cliente 02"/>
    <x v="9"/>
    <s v="México"/>
  </r>
  <r>
    <x v="4"/>
    <n v="16258451.619199825"/>
    <x v="0"/>
    <s v="Cliente 02"/>
    <x v="9"/>
    <s v="México"/>
  </r>
  <r>
    <x v="5"/>
    <n v="17249429.93519989"/>
    <x v="0"/>
    <s v="Cliente 02"/>
    <x v="9"/>
    <s v="México"/>
  </r>
  <r>
    <x v="6"/>
    <n v="17475260.150399815"/>
    <x v="0"/>
    <s v="Cliente 02"/>
    <x v="9"/>
    <s v="México"/>
  </r>
  <r>
    <x v="7"/>
    <n v="21444563.717599567"/>
    <x v="0"/>
    <s v="Cliente 02"/>
    <x v="9"/>
    <s v="México"/>
  </r>
  <r>
    <x v="8"/>
    <n v="17923502.895999633"/>
    <x v="0"/>
    <s v="Cliente 02"/>
    <x v="9"/>
    <s v="México"/>
  </r>
  <r>
    <x v="9"/>
    <n v="21216027.500799071"/>
    <x v="0"/>
    <s v="Cliente 02"/>
    <x v="9"/>
    <s v="México"/>
  </r>
  <r>
    <x v="10"/>
    <n v="19782082.654800698"/>
    <x v="0"/>
    <s v="Cliente 02"/>
    <x v="9"/>
    <s v="México"/>
  </r>
  <r>
    <x v="11"/>
    <n v="20357693.968800109"/>
    <x v="0"/>
    <s v="Cliente 02"/>
    <x v="9"/>
    <s v="México"/>
  </r>
  <r>
    <x v="0"/>
    <n v="14179529.943599977"/>
    <x v="1"/>
    <s v="Cliente 02"/>
    <x v="9"/>
    <s v="México"/>
  </r>
  <r>
    <x v="1"/>
    <n v="18125288.399199929"/>
    <x v="1"/>
    <s v="Cliente 02"/>
    <x v="9"/>
    <s v="México"/>
  </r>
  <r>
    <x v="2"/>
    <n v="20689953.534399983"/>
    <x v="1"/>
    <s v="Cliente 02"/>
    <x v="9"/>
    <s v="México"/>
  </r>
  <r>
    <x v="3"/>
    <n v="22663858.936000034"/>
    <x v="1"/>
    <s v="Cliente 02"/>
    <x v="9"/>
    <s v="México"/>
  </r>
  <r>
    <x v="4"/>
    <n v="18247207.470399857"/>
    <x v="1"/>
    <s v="Cliente 02"/>
    <x v="9"/>
    <s v="México"/>
  </r>
  <r>
    <x v="0"/>
    <n v="10644061.8364"/>
    <x v="0"/>
    <s v="Cliente 03"/>
    <x v="9"/>
    <s v="México"/>
  </r>
  <r>
    <x v="1"/>
    <n v="8976160.9875999987"/>
    <x v="0"/>
    <s v="Cliente 03"/>
    <x v="9"/>
    <s v="México"/>
  </r>
  <r>
    <x v="2"/>
    <n v="6173941.3575999998"/>
    <x v="0"/>
    <s v="Cliente 03"/>
    <x v="9"/>
    <s v="México"/>
  </r>
  <r>
    <x v="3"/>
    <n v="11578460.678399999"/>
    <x v="0"/>
    <s v="Cliente 03"/>
    <x v="9"/>
    <s v="México"/>
  </r>
  <r>
    <x v="4"/>
    <n v="193301.55320000075"/>
    <x v="0"/>
    <s v="Cliente 03"/>
    <x v="9"/>
    <s v="México"/>
  </r>
  <r>
    <x v="5"/>
    <n v="10981411.8576"/>
    <x v="0"/>
    <s v="Cliente 03"/>
    <x v="9"/>
    <s v="México"/>
  </r>
  <r>
    <x v="6"/>
    <n v="6475358.7975999974"/>
    <x v="0"/>
    <s v="Cliente 03"/>
    <x v="9"/>
    <s v="México"/>
  </r>
  <r>
    <x v="7"/>
    <n v="6175851.8320000013"/>
    <x v="0"/>
    <s v="Cliente 03"/>
    <x v="9"/>
    <s v="México"/>
  </r>
  <r>
    <x v="8"/>
    <n v="6662146.6607999913"/>
    <x v="0"/>
    <s v="Cliente 03"/>
    <x v="9"/>
    <s v="México"/>
  </r>
  <r>
    <x v="9"/>
    <n v="5804901.0199999996"/>
    <x v="0"/>
    <s v="Cliente 03"/>
    <x v="9"/>
    <s v="México"/>
  </r>
  <r>
    <x v="10"/>
    <n v="6689257.4499999993"/>
    <x v="0"/>
    <s v="Cliente 03"/>
    <x v="9"/>
    <s v="México"/>
  </r>
  <r>
    <x v="11"/>
    <n v="5748967.4935999997"/>
    <x v="0"/>
    <s v="Cliente 03"/>
    <x v="9"/>
    <s v="México"/>
  </r>
  <r>
    <x v="0"/>
    <n v="8638881.6600000001"/>
    <x v="1"/>
    <s v="Cliente 03"/>
    <x v="9"/>
    <s v="México"/>
  </r>
  <r>
    <x v="1"/>
    <n v="6164100.4863999998"/>
    <x v="1"/>
    <s v="Cliente 03"/>
    <x v="9"/>
    <s v="México"/>
  </r>
  <r>
    <x v="2"/>
    <n v="6154547.9863999886"/>
    <x v="1"/>
    <s v="Cliente 03"/>
    <x v="9"/>
    <s v="México"/>
  </r>
  <r>
    <x v="3"/>
    <n v="6208374.0055999998"/>
    <x v="1"/>
    <s v="Cliente 03"/>
    <x v="9"/>
    <s v="México"/>
  </r>
  <r>
    <x v="4"/>
    <n v="6000000"/>
    <x v="1"/>
    <s v="Cliente 03"/>
    <x v="9"/>
    <s v="México"/>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1AA7C7-18A9-47CD-84B3-902723B7602B}" name="TablaDinámica1" cacheId="102"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3" rowHeaderCaption="Mes" colHeaderCaption="Tipo">
  <location ref="T33:AK45" firstHeaderRow="1" firstDataRow="3" firstDataCol="1" rowPageCount="1" colPageCount="1"/>
  <pivotFields count="6">
    <pivotField axis="axisCol" showAll="0">
      <items count="13">
        <item x="0"/>
        <item x="1"/>
        <item x="2"/>
        <item x="3"/>
        <item x="4"/>
        <item x="5"/>
        <item x="6"/>
        <item x="7"/>
        <item x="8"/>
        <item x="9"/>
        <item x="10"/>
        <item x="11"/>
        <item t="default"/>
      </items>
    </pivotField>
    <pivotField dataField="1" showAll="0"/>
    <pivotField axis="axisCol" showAll="0" defaultSubtotal="0">
      <items count="2">
        <item x="0"/>
        <item x="1"/>
      </items>
    </pivotField>
    <pivotField axis="axisPage" multipleItemSelectionAllowed="1" showAll="0" defaultSubtotal="0">
      <items count="6">
        <item m="1" x="3"/>
        <item m="1" x="5"/>
        <item m="1" x="4"/>
        <item x="0"/>
        <item x="1"/>
        <item x="2"/>
      </items>
    </pivotField>
    <pivotField axis="axisRow" showAll="0">
      <items count="11">
        <item x="7"/>
        <item x="1"/>
        <item x="2"/>
        <item x="8"/>
        <item x="5"/>
        <item x="0"/>
        <item x="6"/>
        <item x="4"/>
        <item x="3"/>
        <item n="Otro" x="9"/>
        <item t="default"/>
      </items>
    </pivotField>
    <pivotField showAll="0"/>
  </pivotFields>
  <rowFields count="1">
    <field x="4"/>
  </rowFields>
  <rowItems count="10">
    <i>
      <x/>
    </i>
    <i>
      <x v="1"/>
    </i>
    <i>
      <x v="2"/>
    </i>
    <i>
      <x v="3"/>
    </i>
    <i>
      <x v="4"/>
    </i>
    <i>
      <x v="5"/>
    </i>
    <i>
      <x v="6"/>
    </i>
    <i>
      <x v="7"/>
    </i>
    <i>
      <x v="8"/>
    </i>
    <i>
      <x v="9"/>
    </i>
  </rowItems>
  <colFields count="2">
    <field x="2"/>
    <field x="0"/>
  </colFields>
  <colItems count="17">
    <i>
      <x/>
      <x/>
    </i>
    <i r="1">
      <x v="1"/>
    </i>
    <i r="1">
      <x v="2"/>
    </i>
    <i r="1">
      <x v="3"/>
    </i>
    <i r="1">
      <x v="4"/>
    </i>
    <i r="1">
      <x v="5"/>
    </i>
    <i r="1">
      <x v="6"/>
    </i>
    <i r="1">
      <x v="7"/>
    </i>
    <i r="1">
      <x v="8"/>
    </i>
    <i r="1">
      <x v="9"/>
    </i>
    <i r="1">
      <x v="10"/>
    </i>
    <i r="1">
      <x v="11"/>
    </i>
    <i>
      <x v="1"/>
      <x/>
    </i>
    <i r="1">
      <x v="1"/>
    </i>
    <i r="1">
      <x v="2"/>
    </i>
    <i r="1">
      <x v="3"/>
    </i>
    <i r="1">
      <x v="4"/>
    </i>
  </colItems>
  <pageFields count="1">
    <pageField fld="3" hier="-1"/>
  </pageFields>
  <dataFields count="1">
    <dataField name="Suma de CANTIDAD" fld="1" baseField="0" baseItem="0" numFmtId="172"/>
  </dataFields>
  <formats count="13">
    <format dxfId="0">
      <pivotArea grandCol="1" outline="0" collapsedLevelsAreSubtotals="1" fieldPosition="0"/>
    </format>
    <format dxfId="1">
      <pivotArea type="all" dataOnly="0" outline="0" fieldPosition="0"/>
    </format>
    <format dxfId="2">
      <pivotArea outline="0" collapsedLevelsAreSubtotals="1" fieldPosition="0"/>
    </format>
    <format dxfId="3">
      <pivotArea type="origin" dataOnly="0" labelOnly="1" outline="0" fieldPosition="0"/>
    </format>
    <format dxfId="4">
      <pivotArea field="2" type="button" dataOnly="0" labelOnly="1" outline="0" axis="axisCol" fieldPosition="0"/>
    </format>
    <format dxfId="5">
      <pivotArea field="0" type="button" dataOnly="0" labelOnly="1" outline="0" axis="axisCol" fieldPosition="1"/>
    </format>
    <format dxfId="6">
      <pivotArea type="topRight" dataOnly="0" labelOnly="1" outline="0" fieldPosition="0"/>
    </format>
    <format dxfId="7">
      <pivotArea field="4" type="button" dataOnly="0" labelOnly="1" outline="0" axis="axisRow" fieldPosition="0"/>
    </format>
    <format dxfId="8">
      <pivotArea dataOnly="0" labelOnly="1" fieldPosition="0">
        <references count="1">
          <reference field="4" count="0"/>
        </references>
      </pivotArea>
    </format>
    <format dxfId="9">
      <pivotArea dataOnly="0" labelOnly="1" fieldPosition="0">
        <references count="1">
          <reference field="2" count="0"/>
        </references>
      </pivotArea>
    </format>
    <format dxfId="10">
      <pivotArea dataOnly="0" labelOnly="1" fieldPosition="0">
        <references count="2">
          <reference field="0" count="0"/>
          <reference field="2" count="1" selected="0">
            <x v="0"/>
          </reference>
        </references>
      </pivotArea>
    </format>
    <format dxfId="11">
      <pivotArea dataOnly="0" labelOnly="1" fieldPosition="0">
        <references count="2">
          <reference field="0" count="5">
            <x v="0"/>
            <x v="1"/>
            <x v="2"/>
            <x v="3"/>
            <x v="4"/>
          </reference>
          <reference field="2" count="1" selected="0">
            <x v="1"/>
          </reference>
        </references>
      </pivotArea>
    </format>
    <format dxfId="12">
      <pivotArea outline="0" collapsedLevelsAreSubtotals="1" fieldPosition="0"/>
    </format>
  </formats>
  <chartFormats count="2">
    <chartFormat chart="1" format="17" series="1">
      <pivotArea type="data" outline="0" fieldPosition="0">
        <references count="3">
          <reference field="4294967294" count="1" selected="0">
            <x v="0"/>
          </reference>
          <reference field="2" count="1" selected="0">
            <x v="0"/>
          </reference>
          <reference field="3" count="1" selected="0">
            <x v="0"/>
          </reference>
        </references>
      </pivotArea>
    </chartFormat>
    <chartFormat chart="1" format="18" series="1">
      <pivotArea type="data" outline="0" fieldPosition="0">
        <references count="3">
          <reference field="4294967294" count="1" selected="0">
            <x v="0"/>
          </reference>
          <reference field="2"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A4B646-1AE9-4011-AD82-333280795664}" name="TablaDinámica5" cacheId="107"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rowHeaderCaption="Mes" colHeaderCaption="C P">
  <location ref="A7:K13" firstHeaderRow="1" firstDataRow="2" firstDataCol="1"/>
  <pivotFields count="4">
    <pivotField axis="axisRow" showAll="0">
      <items count="14">
        <item x="0"/>
        <item x="1"/>
        <item x="2"/>
        <item x="3"/>
        <item x="4"/>
        <item h="1" x="5"/>
        <item h="1" x="6"/>
        <item h="1" x="7"/>
        <item h="1" x="8"/>
        <item h="1" x="9"/>
        <item h="1" x="10"/>
        <item h="1" x="11"/>
        <item h="1" m="1" x="12"/>
        <item t="default"/>
      </items>
    </pivotField>
    <pivotField dataField="1" numFmtId="166" showAll="0"/>
    <pivotField showAll="0"/>
    <pivotField axis="axisCol" showAll="0">
      <items count="25">
        <item h="1" m="1" x="19"/>
        <item h="1" m="1" x="10"/>
        <item n="CANCÚN " h="1" m="1" x="13"/>
        <item x="2"/>
        <item x="1"/>
        <item x="6"/>
        <item x="8"/>
        <item h="1" m="1" x="17"/>
        <item h="1" m="1" x="14"/>
        <item h="1" m="1" x="22"/>
        <item h="1" m="1" x="21"/>
        <item h="1" m="1" x="23"/>
        <item h="1" m="1" x="20"/>
        <item h="1" m="1" x="15"/>
        <item h="1" m="1" x="16"/>
        <item h="1" m="1" x="18"/>
        <item h="1" m="1" x="12"/>
        <item h="1" m="1" x="11"/>
        <item x="7"/>
        <item x="3"/>
        <item x="5"/>
        <item x="0"/>
        <item x="4"/>
        <item n="Otro" x="9"/>
        <item t="default"/>
      </items>
    </pivotField>
  </pivotFields>
  <rowFields count="1">
    <field x="0"/>
  </rowFields>
  <rowItems count="5">
    <i>
      <x/>
    </i>
    <i>
      <x v="1"/>
    </i>
    <i>
      <x v="2"/>
    </i>
    <i>
      <x v="3"/>
    </i>
    <i>
      <x v="4"/>
    </i>
  </rowItems>
  <colFields count="1">
    <field x="3"/>
  </colFields>
  <colItems count="10">
    <i>
      <x v="3"/>
    </i>
    <i>
      <x v="4"/>
    </i>
    <i>
      <x v="5"/>
    </i>
    <i>
      <x v="6"/>
    </i>
    <i>
      <x v="18"/>
    </i>
    <i>
      <x v="19"/>
    </i>
    <i>
      <x v="20"/>
    </i>
    <i>
      <x v="21"/>
    </i>
    <i>
      <x v="22"/>
    </i>
    <i>
      <x v="23"/>
    </i>
  </colItems>
  <dataFields count="1">
    <dataField name="Rentabilidad" fld="1" baseField="0" baseItem="0" numFmtId="9"/>
  </dataFields>
  <formats count="8">
    <format dxfId="13">
      <pivotArea dataOnly="0" labelOnly="1" fieldPosition="0">
        <references count="1">
          <reference field="3" count="1">
            <x v="3"/>
          </reference>
        </references>
      </pivotArea>
    </format>
    <format dxfId="14">
      <pivotArea type="all" dataOnly="0" outline="0" fieldPosition="0"/>
    </format>
    <format dxfId="15">
      <pivotArea type="origin" dataOnly="0" labelOnly="1" outline="0" fieldPosition="0"/>
    </format>
    <format dxfId="16">
      <pivotArea field="3" type="button" dataOnly="0" labelOnly="1" outline="0" axis="axisCol" fieldPosition="0"/>
    </format>
    <format dxfId="17">
      <pivotArea field="0" type="button" dataOnly="0" labelOnly="1" outline="0" axis="axisRow" fieldPosition="0"/>
    </format>
    <format dxfId="18">
      <pivotArea dataOnly="0" labelOnly="1" fieldPosition="0">
        <references count="1">
          <reference field="3" count="0"/>
        </references>
      </pivotArea>
    </format>
    <format dxfId="19">
      <pivotArea outline="0" collapsedLevelsAreSubtotals="1" fieldPosition="0"/>
    </format>
    <format dxfId="20">
      <pivotArea dataOnly="0" labelOnly="1" fieldPosition="0">
        <references count="1">
          <reference field="0" count="0"/>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52FACC-67CC-4636-9B0C-FB03936D2F95}" name="TablaDinámica2" cacheId="113"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rowHeaderCaption="C P" colHeaderCaption="Mes">
  <location ref="A17:F28" firstHeaderRow="1" firstDataRow="2" firstDataCol="1" rowPageCount="1" colPageCount="1"/>
  <pivotFields count="6">
    <pivotField axis="axisCol" showAll="0">
      <items count="14">
        <item x="0"/>
        <item x="1"/>
        <item x="2"/>
        <item x="3"/>
        <item x="4"/>
        <item x="5"/>
        <item x="6"/>
        <item x="7"/>
        <item x="8"/>
        <item x="9"/>
        <item x="10"/>
        <item x="11"/>
        <item x="12"/>
        <item t="default"/>
      </items>
    </pivotField>
    <pivotField dataField="1" showAll="0"/>
    <pivotField axis="axisPage" showAll="0">
      <items count="4">
        <item x="0"/>
        <item x="1"/>
        <item x="2"/>
        <item t="default"/>
      </items>
    </pivotField>
    <pivotField showAll="0"/>
    <pivotField axis="axisRow" showAll="0">
      <items count="21">
        <item m="1" x="14"/>
        <item m="1" x="11"/>
        <item m="1" x="12"/>
        <item x="2"/>
        <item x="1"/>
        <item x="6"/>
        <item x="4"/>
        <item x="7"/>
        <item m="1" x="13"/>
        <item m="1" x="18"/>
        <item m="1" x="15"/>
        <item m="1" x="19"/>
        <item m="1" x="16"/>
        <item x="8"/>
        <item x="3"/>
        <item x="5"/>
        <item x="0"/>
        <item m="1" x="17"/>
        <item n="Otro" x="9"/>
        <item x="10"/>
        <item t="default"/>
      </items>
    </pivotField>
    <pivotField showAll="0"/>
  </pivotFields>
  <rowFields count="1">
    <field x="4"/>
  </rowFields>
  <rowItems count="10">
    <i>
      <x v="3"/>
    </i>
    <i>
      <x v="4"/>
    </i>
    <i>
      <x v="5"/>
    </i>
    <i>
      <x v="6"/>
    </i>
    <i>
      <x v="7"/>
    </i>
    <i>
      <x v="13"/>
    </i>
    <i>
      <x v="14"/>
    </i>
    <i>
      <x v="15"/>
    </i>
    <i>
      <x v="16"/>
    </i>
    <i>
      <x v="18"/>
    </i>
  </rowItems>
  <colFields count="1">
    <field x="0"/>
  </colFields>
  <colItems count="5">
    <i>
      <x/>
    </i>
    <i>
      <x v="1"/>
    </i>
    <i>
      <x v="2"/>
    </i>
    <i>
      <x v="3"/>
    </i>
    <i>
      <x v="4"/>
    </i>
  </colItems>
  <pageFields count="1">
    <pageField fld="2" item="1" hier="-1"/>
  </pageFields>
  <dataFields count="1">
    <dataField name="Utilidad" fld="1" baseField="0" baseItem="0"/>
  </dataFields>
  <formats count="8">
    <format dxfId="21">
      <pivotArea type="all" dataOnly="0" outline="0" fieldPosition="0"/>
    </format>
    <format dxfId="22">
      <pivotArea outline="0" collapsedLevelsAreSubtotals="1" fieldPosition="0"/>
    </format>
    <format dxfId="23">
      <pivotArea type="origin" dataOnly="0" labelOnly="1" outline="0" fieldPosition="0"/>
    </format>
    <format dxfId="24">
      <pivotArea field="0" type="button" dataOnly="0" labelOnly="1" outline="0" axis="axisCol" fieldPosition="0"/>
    </format>
    <format dxfId="25">
      <pivotArea type="topRight" dataOnly="0" labelOnly="1" outline="0" fieldPosition="0"/>
    </format>
    <format dxfId="26">
      <pivotArea field="4" type="button" dataOnly="0" labelOnly="1" outline="0" axis="axisRow" fieldPosition="0"/>
    </format>
    <format dxfId="27">
      <pivotArea dataOnly="0" labelOnly="1" fieldPosition="0">
        <references count="1">
          <reference field="4" count="10">
            <x v="3"/>
            <x v="4"/>
            <x v="5"/>
            <x v="6"/>
            <x v="7"/>
            <x v="13"/>
            <x v="14"/>
            <x v="15"/>
            <x v="16"/>
            <x v="18"/>
          </reference>
        </references>
      </pivotArea>
    </format>
    <format dxfId="28">
      <pivotArea dataOnly="0" labelOnly="1" fieldPosition="0">
        <references count="1">
          <reference field="0"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Oaxaca" TargetMode="External"/><Relationship Id="rId3" Type="http://schemas.openxmlformats.org/officeDocument/2006/relationships/hyperlink" Target="https://www.bing.com/th?id=AMMS_aa62d20f4c4afea5cb3b950bcea7e8f0&amp;qlt=95" TargetMode="External"/><Relationship Id="rId7" Type="http://schemas.openxmlformats.org/officeDocument/2006/relationships/hyperlink" Target="https://www.bing.com/th?id=AMMS_037edba2066cc72bcdf940711e7b6093&amp;qlt=95" TargetMode="External"/><Relationship Id="rId2" Type="http://schemas.openxmlformats.org/officeDocument/2006/relationships/hyperlink" Target="https://www.bing.com/images/search?form=xlimg&amp;q=Ciudad+de+M%c3%a9xico" TargetMode="External"/><Relationship Id="rId1" Type="http://schemas.openxmlformats.org/officeDocument/2006/relationships/hyperlink" Target="https://www.bing.com/th?id=AMMS_91f8126a45100cdc1af6b48d5427a151&amp;qlt=95" TargetMode="External"/><Relationship Id="rId6" Type="http://schemas.openxmlformats.org/officeDocument/2006/relationships/hyperlink" Target="https://www.bing.com/images/search?form=xlimg&amp;q=Acapulco+de+Ju%c3%a1rez" TargetMode="External"/><Relationship Id="rId5" Type="http://schemas.openxmlformats.org/officeDocument/2006/relationships/hyperlink" Target="https://www.bing.com/th?id=AMMS_f6cdee92fa536b5880b88c05e279d884&amp;qlt=95" TargetMode="External"/><Relationship Id="rId10" Type="http://schemas.openxmlformats.org/officeDocument/2006/relationships/hyperlink" Target="https://www.bing.com/images/search?form=xlimg&amp;q=M%c3%a9rida+M%c3%a9xico" TargetMode="External"/><Relationship Id="rId4" Type="http://schemas.openxmlformats.org/officeDocument/2006/relationships/hyperlink" Target="https://www.bing.com/images/search?form=xlimg&amp;q=Campeche" TargetMode="External"/><Relationship Id="rId9" Type="http://schemas.openxmlformats.org/officeDocument/2006/relationships/hyperlink" Target="https://www.bing.com/th?id=AMMS_4adedf0c8f3039d2f5440e1b6ca561e8&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5">
  <a r="1">
    <v t="s">Hora estándar del centro</v>
  </a>
  <a r="1">
    <v t="r">51</v>
  </a>
  <a r="1">
    <v t="s">Mara Lezama Espinosa (Alcalde)</v>
  </a>
  <a r="1">
    <v t="s">Horario del este de América del Norte</v>
  </a>
  <a r="1">
    <v t="s">Renán Barrera Concha (Alcalde)</v>
  </a>
</arrayData>
</file>

<file path=xl/richData/rdrichvalue.xml><?xml version="1.0" encoding="utf-8"?>
<rvData xmlns="http://schemas.microsoft.com/office/spreadsheetml/2017/richdata" count="83">
  <rv s="0">
    <v>536870912</v>
    <v>Ciudad de México</v>
    <v>f1281260-8340-e258-c8ec-3522504400e5</v>
    <v>es-ES</v>
    <v>Map</v>
  </rv>
  <rv s="1">
    <fb>1485</fb>
    <v>13</v>
  </rv>
  <rv s="1">
    <fb>2714955</fb>
    <v>13</v>
  </rv>
  <rv s="2">
    <v>0</v>
    <v>11</v>
    <v>14</v>
    <v>0</v>
    <v>Image of Ciudad de México</v>
  </rv>
  <rv s="3">
    <v>https://www.bing.com/search?q=Ciudad+de+M%c3%a9xico&amp;form=skydnc</v>
    <v>Aprenda más con Bing</v>
  </rv>
  <rv s="0">
    <v>536870912</v>
    <v>México</v>
    <v>8e475659-4bdc-d912-6494-affce0096bc1</v>
    <v>es-ES</v>
    <v>Map</v>
  </rv>
  <rv s="1">
    <fb>9209944</fb>
    <v>13</v>
  </rv>
  <rv s="4">
    <v>0</v>
  </rv>
  <rv s="5">
    <v>#VALUE!</v>
    <v>es-ES</v>
    <v>f1281260-8340-e258-c8ec-3522504400e5</v>
    <v>536870912</v>
    <v>1</v>
    <v>4</v>
    <v>5</v>
    <v>6</v>
    <v>Ciudad de México</v>
    <v>9</v>
    <v>10</v>
    <v>Map</v>
    <v>11</v>
    <v>12</v>
    <v>MX-CMX</v>
    <v>1</v>
    <v>La Ciudad de México, anteriormente denominada Distrito Federal, es la capital de México. Es una de las entidades federativas que, junto con treinta y un estados, conforman dicho país. Asimismo es sede de los Poderes de la Unión. Está dividida en dieciséis demarcaciones territoriales.</v>
    <v>2</v>
    <v>3</v>
    <v>4</v>
    <v>Ciudad de México</v>
    <v>5</v>
    <v>6</v>
    <v>Ciudad de México</v>
    <v>mdp/vdpid/5162431768069931014</v>
    <v>7</v>
  </rv>
  <rv s="0">
    <v>536870912</v>
    <v>Campeche</v>
    <v>7c67b06b-20b4-3244-d633-4a6255df7395</v>
    <v>es-ES</v>
    <v>Map</v>
  </rv>
  <rv s="1">
    <fb>57507</fb>
    <v>13</v>
  </rv>
  <rv s="0">
    <v>536870912</v>
    <v>San Francisco de Campeche</v>
    <v>a4a9c045-1f0c-9817-7e0f-2e4b7fe98b1b</v>
    <v>es-ES</v>
    <v>Map</v>
  </rv>
  <rv s="0">
    <v>536870912</v>
    <v>Ciudad del Carmen</v>
    <v>4f3b1b79-c2df-1792-3fc1-a988a8ca8b00</v>
    <v>es-ES</v>
    <v>Map</v>
  </rv>
  <rv s="1">
    <fb>248645</fb>
    <v>13</v>
  </rv>
  <rv s="2">
    <v>1</v>
    <v>11</v>
    <v>21</v>
    <v>0</v>
    <v>Image of Campeche</v>
  </rv>
  <rv s="3">
    <v>https://www.bing.com/search?q=Campeche&amp;form=skydnc</v>
    <v>Aprenda más con Bing</v>
  </rv>
  <rv s="1">
    <fb>928363</fb>
    <v>13</v>
  </rv>
  <rv s="6">
    <v>#VALUE!</v>
    <v>es-ES</v>
    <v>7c67b06b-20b4-3244-d633-4a6255df7395</v>
    <v>536870912</v>
    <v>1</v>
    <v>18</v>
    <v>19</v>
    <v>20</v>
    <v>Campeche</v>
    <v>9</v>
    <v>10</v>
    <v>Map</v>
    <v>11</v>
    <v>12</v>
    <v>MX-CAM</v>
    <v>10</v>
    <v>11</v>
    <v>12</v>
    <v>Campeche es uno de los treinta y un estados que, junto con la Ciudad de México, conforman México. Su capital y ciudad más poblada es San Francisco de Campeche. Está divido en trece municipios. Está ubicado en la península de Yucatán en la región sureste del país, colindando al norte y noreste con Yucatán, al este con Quintana Roo, al sur con Guatemala, al oeste con el Golfo de México y al suroeste con Tabasco.</v>
    <v>13</v>
    <v>14</v>
    <v>15</v>
    <v>Campeche</v>
    <v>5</v>
    <v>16</v>
    <v>Campeche</v>
    <v>mdp/vdpid/5722</v>
    <v>7</v>
  </rv>
  <rv s="0">
    <v>536870912</v>
    <v>Acapulco de Juárez</v>
    <v>f717fc5c-69cf-4b5d-9d03-93b688ff0a17</v>
    <v>es-ES</v>
    <v>Map</v>
  </rv>
  <rv s="1">
    <fb>1880.6</fb>
    <v>13</v>
  </rv>
  <rv s="0">
    <v>536870912</v>
    <v>Estado de Guerrero</v>
    <v>86638283-e8d0-0d69-1241-dc688f82149b</v>
    <v>es-ES</v>
    <v>Map</v>
  </rv>
  <rv s="0">
    <v>536870912</v>
    <v>Municipio de Acapulco de Juárez</v>
    <v>da772611-c9f9-33a3-ad6a-9b5971c9b651</v>
    <v>es-ES</v>
    <v>Map</v>
  </rv>
  <rv s="2">
    <v>2</v>
    <v>11</v>
    <v>29</v>
    <v>0</v>
    <v>Image of Acapulco de Juárez</v>
  </rv>
  <rv s="1">
    <fb>16.863543799999999</fb>
    <v>30</v>
  </rv>
  <rv s="3">
    <v>https://www.bing.com/search?q=Acapulco+de+Ju%c3%a1rez&amp;form=skydnc</v>
    <v>Aprenda más con Bing</v>
  </rv>
  <rv s="1">
    <fb>-99.882571900000002</fb>
    <v>30</v>
  </rv>
  <rv s="1">
    <fb>687608</fb>
    <v>13</v>
  </rv>
  <rv s="7">
    <v>#VALUE!</v>
    <v>es-ES</v>
    <v>f717fc5c-69cf-4b5d-9d03-93b688ff0a17</v>
    <v>536870912</v>
    <v>1</v>
    <v>25</v>
    <v>26</v>
    <v>27</v>
    <v>Acapulco de Juárez</v>
    <v>9</v>
    <v>10</v>
    <v>Map</v>
    <v>11</v>
    <v>28</v>
    <v>19</v>
    <v>Acapulco es una ciudad y puerto mexicano ubicado en el estado de Guerrero, en la costa sur del país, a 379 km de la Ciudad de México. Es la mayor ciudad del estado, constituyendo también la única zona metropolitana de este. Es cabecera del municipio homónimo y uno de los principales destinos turísticos de México. A nivel nacional, es la vigesimoquinta metrópoli más grande del país y la vigesimoseptima ciudad más poblada. Ciudad Renacimiento es la zona más extensa y superpoblada del puerto, de acuerdo con los últimos censos de población.</v>
    <v>20</v>
    <v>21</v>
    <v>22</v>
    <v>23</v>
    <v>24</v>
    <v>25</v>
    <v>Acapulco de Juárez</v>
    <v>5</v>
    <v>26</v>
    <v>Acapulco de Juárez</v>
    <v>mdp/vdpid/5162766866971623425</v>
    <v>7</v>
  </rv>
  <rv s="0">
    <v>536870912</v>
    <v>Guadalajara</v>
    <v>bde57fba-2206-ac66-4407-b25eb03c3813</v>
    <v>es-ES</v>
    <v>Map</v>
  </rv>
  <rv s="1">
    <fb>151</fb>
    <v>13</v>
  </rv>
  <rv s="0">
    <v>536870912</v>
    <v>Jalisco</v>
    <v>18c29bf9-bbf0-e90f-10f3-c48c9791339b</v>
    <v>es-ES</v>
    <v>Map</v>
  </rv>
  <rv s="1">
    <fb>20.6751711</fb>
    <v>30</v>
  </rv>
  <rv s="3">
    <v>https://www.bing.com/search?q=Guadalajara+M%c3%a9xico&amp;form=skydnc</v>
    <v>Aprenda más con Bing</v>
  </rv>
  <rv s="1">
    <fb>-103.34733</fb>
    <v>30</v>
  </rv>
  <rv s="1">
    <fb>1460148</fb>
    <v>13</v>
  </rv>
  <rv s="8">
    <v>#VALUE!</v>
    <v>es-ES</v>
    <v>bde57fba-2206-ac66-4407-b25eb03c3813</v>
    <v>536870912</v>
    <v>1</v>
    <v>35</v>
    <v>36</v>
    <v>37</v>
    <v>Guadalajara</v>
    <v>9</v>
    <v>38</v>
    <v>Map</v>
    <v>11</v>
    <v>39</v>
    <v>29</v>
    <v>Guadalajara es una ciudad en México, capital del estado de Jalisco. Está ubicada en el occidente del país, en la zona geográfica conocida como Valle de Atemajac. La ciudad está considerada como uno de los centros políticos, económicos, sociales, culturales y turísticos más importantes de México. Guadalajara es también conocida como «La Perla Tapatía», «La Perla de Occidente» y «La Ciudad de las Rosas».</v>
    <v>30</v>
    <v>31</v>
    <v>32</v>
    <v>33</v>
    <v>Guadalajara</v>
    <v>5</v>
    <v>34</v>
    <v>Guadalajara</v>
    <v>mdp/vdpid/5155231513767313409</v>
    <v>7</v>
  </rv>
  <rv s="0">
    <v>536870912</v>
    <v>Monterrey</v>
    <v>7efc18c0-8c1d-eee3-2e2c-94beca244838</v>
    <v>es-ES</v>
    <v>Map</v>
  </rv>
  <rv s="1">
    <fb>324.8</fb>
    <v>13</v>
  </rv>
  <rv s="0">
    <v>536870912</v>
    <v>Nuevo León</v>
    <v>1696b325-bf35-b9aa-28db-3304c1996498</v>
    <v>es-ES</v>
    <v>Map</v>
  </rv>
  <rv s="0">
    <v>536870912</v>
    <v>Monterrey Municipality</v>
    <v>d920aac2-20c8-7f47-8652-c75656d92f7d</v>
    <v>es-ES</v>
    <v>Map</v>
  </rv>
  <rv s="1">
    <fb>25.6828</fb>
    <v>30</v>
  </rv>
  <rv s="3">
    <v>https://www.bing.com/search?q=Monterrey&amp;form=skydnc</v>
    <v>Aprenda más con Bing</v>
  </rv>
  <rv s="1">
    <fb>-100.311638</fb>
    <v>30</v>
  </rv>
  <rv s="1">
    <fb>1109171</fb>
    <v>13</v>
  </rv>
  <rv s="9">
    <v>#VALUE!</v>
    <v>es-ES</v>
    <v>7efc18c0-8c1d-eee3-2e2c-94beca244838</v>
    <v>536870912</v>
    <v>1</v>
    <v>43</v>
    <v>44</v>
    <v>45</v>
    <v>Monterrey</v>
    <v>9</v>
    <v>38</v>
    <v>Map</v>
    <v>11</v>
    <v>39</v>
    <v>37</v>
    <v>Monterrey es una ciudad y capital del estado de Nuevo León. Se encuentra en la Región Noreste de México. Es el segundo centro de negocios y finanzas del país. Funge como el principal epicentro industrial, comercial y económico para el Norte de México. Según un estudio de Mercer Human Resource Consulting, en 2019 es la ciudad con mejor calidad de vida en México y la 113ª en el mundo. La ciudad de Monterrey alberga en su zona metropolitana la ciudad de San Pedro Garza García la cual es el área con más riqueza en México y América Latina. La economía se caracteriza por ser la cuna de las empresas nacionales más importantes de México e internacionales como Cemex, Oxxo, FEMSA, Vitro, Grupo Alfa, Gruma, Gamesa, Banorte, entre otras. La ciudad de Monterrey cuenta según datos del XIV Censo de Población y Vivienda del INEGI en 2020 con una población de 1,142,952 habitantes, por lo cual de manera individual es la 9.ª ciudad más poblada de México, mientras que la Zona metropolitana de Monterrey cuenta con una población de 5,341,175 habitantes, la cual la convierte en la 2.ª área metropolitana más poblada de México, solo detrás de la Ciudad de México.</v>
    <v>38</v>
    <v>39</v>
    <v>40</v>
    <v>41</v>
    <v>42</v>
    <v>Monterrey</v>
    <v>5</v>
    <v>43</v>
    <v>Monterrey</v>
    <v>mdp/vdpid/5111976795486289921</v>
    <v>7</v>
  </rv>
  <rv s="0">
    <v>536870912</v>
    <v>Oaxaca</v>
    <v>2a651e2b-4cd2-6315-971b-6bddb30dfb4d</v>
    <v>es-ES</v>
    <v>Map</v>
  </rv>
  <rv s="1">
    <fb>93757</fb>
    <v>13</v>
  </rv>
  <rv s="0">
    <v>536870912</v>
    <v>Oaxaca de Juárez</v>
    <v>cd8d901e-f100-1e0b-99df-6dc2beae5986</v>
    <v>es-ES</v>
    <v>Map</v>
  </rv>
  <rv s="1">
    <fb>1090998</fb>
    <v>13</v>
  </rv>
  <rv s="2">
    <v>3</v>
    <v>11</v>
    <v>51</v>
    <v>0</v>
    <v>Image of Oaxaca</v>
  </rv>
  <rv s="3">
    <v>https://www.bing.com/search?q=Oaxaca&amp;form=skydnc</v>
    <v>Aprenda más con Bing</v>
  </rv>
  <rv s="0">
    <v>805306368</v>
    <v>Alejandro Murat Hinojosa (Gobernador)</v>
    <v>8a381ab0-358e-be0b-3b4d-3117bbc5ec37</v>
    <v>es-ES</v>
    <v>Generic</v>
  </rv>
  <rv s="4">
    <v>1</v>
  </rv>
  <rv s="1">
    <fb>4132148</fb>
    <v>13</v>
  </rv>
  <rv s="10">
    <v>#VALUE!</v>
    <v>es-ES</v>
    <v>2a651e2b-4cd2-6315-971b-6bddb30dfb4d</v>
    <v>536870912</v>
    <v>1</v>
    <v>49</v>
    <v>19</v>
    <v>50</v>
    <v>Oaxaca</v>
    <v>9</v>
    <v>10</v>
    <v>Map</v>
    <v>11</v>
    <v>12</v>
    <v>MX-OAX</v>
    <v>46</v>
    <v>47</v>
    <v>47</v>
    <v>Oaxaca, oficialmente el Estado Libre y Soberano de Oaxaca, es uno de los treinta y un estados que, junto con la Ciudad de México, forman México. Su capital y ciudad más poblada es Oaxaca de Juárez. Está dividido en 570 municipios, 418 de los cuales se gobiernan bajo el sistema de usos y costumbres, con formas locales reconocidas de autogobierno.</v>
    <v>48</v>
    <v>49</v>
    <v>50</v>
    <v>52</v>
    <v>Oaxaca</v>
    <v>5</v>
    <v>53</v>
    <v>Oaxaca</v>
    <v>mdp/vdpid/24073</v>
    <v>7</v>
  </rv>
  <rv s="0">
    <v>536870912</v>
    <v>Cancún</v>
    <v>f5106a5a-2c36-727c-cd65-16ed42559291</v>
    <v>es-ES</v>
    <v>Map</v>
  </rv>
  <rv s="1">
    <fb>1978.75</fb>
    <v>13</v>
  </rv>
  <rv s="0">
    <v>536870912</v>
    <v>Quintana Roo</v>
    <v>96bcffec-8d1c-5e86-ab0e-e31d5b9a157c</v>
    <v>es-ES</v>
    <v>Map</v>
  </rv>
  <rv s="1">
    <fb>21.1733972</fb>
    <v>30</v>
  </rv>
  <rv s="3">
    <v>https://www.bing.com/search?q=Canc%c3%ban&amp;form=skydnc</v>
    <v>Aprenda más con Bing</v>
  </rv>
  <rv s="4">
    <v>2</v>
  </rv>
  <rv s="1">
    <fb>-86.828102700000002</fb>
    <v>30</v>
  </rv>
  <rv s="1">
    <fb>888797</fb>
    <v>13</v>
  </rv>
  <rv s="4">
    <v>3</v>
  </rv>
  <rv s="11">
    <v>#VALUE!</v>
    <v>es-ES</v>
    <v>f5106a5a-2c36-727c-cd65-16ed42559291</v>
    <v>536870912</v>
    <v>1</v>
    <v>56</v>
    <v>36</v>
    <v>57</v>
    <v>Cancún</v>
    <v>9</v>
    <v>38</v>
    <v>Map</v>
    <v>11</v>
    <v>58</v>
    <v>56</v>
    <v>Cancún es una ciudad planificada mexicana ubicada en el estado de Quintana Roo, siendo cabecera del municipio de Benito Juárez, se ubica en el oriente de México, a más de 1.600km de la Ciudad de México. Es la ciudad más poblada del estado con 888.797 habitantes según últimos censos del Instituto Nacional de Estadística y Geografía en el 2020. Considerada un destino turístico de talla mundial, con certificación de la Organización Mundial del Turismo, el proyecto de su desarrollo inició operaciones en 1974 como Centro Integralmente Planeado, pionero de Fonatur, antes conocido como Infratur.</v>
    <v>57</v>
    <v>58</v>
    <v>59</v>
    <v>60</v>
    <v>61</v>
    <v>Cancún</v>
    <v>5</v>
    <v>62</v>
    <v>Cancún</v>
    <v>mdp/vdpid/5549099978892247042</v>
    <v>63</v>
  </rv>
  <rv s="0">
    <v>536870912</v>
    <v>Coatzacoalcos</v>
    <v>2014060b-b372-aa0e-ed21-11ddcb9643f0</v>
    <v>es-ES</v>
    <v>Map</v>
  </rv>
  <rv s="1">
    <fb>471</fb>
    <v>13</v>
  </rv>
  <rv s="0">
    <v>536870912</v>
    <v>Veracruz de Ignacio de la Llave</v>
    <v>10381f79-264a-f2fd-08f8-cc5377683832</v>
    <v>es-ES</v>
    <v>Map</v>
  </rv>
  <rv s="0">
    <v>536870912</v>
    <v>Municipio de Coatzacoalcos</v>
    <v>3efe4598-e881-b6a2-0445-3f0b9e1318cc</v>
    <v>es-ES</v>
    <v>Map</v>
  </rv>
  <rv s="1">
    <fb>18.143726000000001</fb>
    <v>30</v>
  </rv>
  <rv s="3">
    <v>https://www.bing.com/search?q=Coatzacoalcos&amp;form=skydnc</v>
    <v>Aprenda más con Bing</v>
  </rv>
  <rv s="1">
    <fb>-94.415096000000005</fb>
    <v>30</v>
  </rv>
  <rv s="1">
    <fb>319187</fb>
    <v>13</v>
  </rv>
  <rv s="9">
    <v>#VALUE!</v>
    <v>es-ES</v>
    <v>2014060b-b372-aa0e-ed21-11ddcb9643f0</v>
    <v>536870912</v>
    <v>1</v>
    <v>62</v>
    <v>44</v>
    <v>45</v>
    <v>Coatzacoalcos</v>
    <v>9</v>
    <v>38</v>
    <v>Map</v>
    <v>11</v>
    <v>39</v>
    <v>66</v>
    <v>Coatzacoalcos es una ciudad y puerto del estado de Veracruz, ubicado junto al río homónimo, en el Istmo de Tehuantepec. Coatzacoalcos significa en náhuatl ‘lugar donde se esconde la serpiente’. Su nombre se debe a una antigua leyenda que cuenta que en el año 947, Quetzalcóatl llegó a esta ciudad y a bordo de una balsa navegó a través del río hasta perderse en el horizonte bajo promesa de regresar un día. Los seguidores de Quetzalcóatl se quedaron en ese lugar esperando el retorno de su líder, así es como aparecieron los primeros asentamientos en la región.</v>
    <v>67</v>
    <v>68</v>
    <v>69</v>
    <v>70</v>
    <v>71</v>
    <v>Coatzacoalcos</v>
    <v>5</v>
    <v>72</v>
    <v>Coatzacoalcos</v>
    <v>mdp/vdpid/5164830214592659457</v>
    <v>7</v>
  </rv>
  <rv s="0">
    <v>536870912</v>
    <v>Mérida</v>
    <v>a5d5d869-54fc-c36d-271a-5c6c72b3e615</v>
    <v>es-ES</v>
    <v>Map</v>
  </rv>
  <rv s="0">
    <v>536870912</v>
    <v>Yucatán</v>
    <v>f096e19b-5b56-f73a-3e33-e3f03e33fffc</v>
    <v>es-ES</v>
    <v>Map</v>
  </rv>
  <rv s="2">
    <v>4</v>
    <v>11</v>
    <v>71</v>
    <v>0</v>
    <v>Image of Mérida</v>
  </rv>
  <rv s="1">
    <fb>20.9677756</fb>
    <v>30</v>
  </rv>
  <rv s="3">
    <v>https://www.bing.com/search?q=M%c3%a9rida+M%c3%a9xico&amp;form=skydnc</v>
    <v>Aprenda más con Bing</v>
  </rv>
  <rv s="4">
    <v>4</v>
  </rv>
  <rv s="1">
    <fb>-89.624263099999993</fb>
    <v>30</v>
  </rv>
  <rv s="1">
    <fb>1201000</fb>
    <v>13</v>
  </rv>
  <rv s="12">
    <v>#VALUE!</v>
    <v>es-ES</v>
    <v>a5d5d869-54fc-c36d-271a-5c6c72b3e615</v>
    <v>536870912</v>
    <v>1</v>
    <v>67</v>
    <v>68</v>
    <v>69</v>
    <v>Mérida</v>
    <v>9</v>
    <v>10</v>
    <v>Map</v>
    <v>11</v>
    <v>70</v>
    <v>Mérida es la capital y ciudad más poblada del estado de Yucatán, cabecera del municipio homónimo y la duodécima urbe con más habitantes de México. Se encuentra ubicada al noroeste del estado en la región sureste del país, zona de la que es el principal centro social, cultural, económico y educativo. En 2020, la ciudad contaba con una población de 921 771 habitantes y es el centro neurálgico de la denominada Zona Metropolitana de Mérida en la que se encuentran conurbados cinco municipios de Yucatán y que alberga a una población de 1 316 088 habitantes, siendo la undécima área metropolitana más habitada del país. Su rica herencia cultural es producto de la mezcla de las culturas maya, española y africana durante la época colonial influenciada posteriormente por las culturas francesa y libanesa con algunas aportaciones de la neerlandesa, coreana e italiana. Es una de las ciudades con mejor calidad de vida del país y una de las más seguras de América. La Catedral de Mérida, construida con piedras de ruinas mayas adyacentes, es la más antigua de la América continental y el Centro Histórico de Mérida es el segundo más grande del país solo detrás del Centro Histórico de la Ciudad de México, metrópoli de la que se localiza a unos 1009 km de distancia.</v>
    <v>75</v>
    <v>76</v>
    <v>77</v>
    <v>78</v>
    <v>79</v>
    <v>80</v>
    <v>Mérida</v>
    <v>5</v>
    <v>81</v>
    <v>Mérida</v>
    <v>mdp/vdpid/5548723635251838977</v>
    <v>7</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webimage">
    <k n="WebImageIdentifier" t="i"/>
    <k n="_Provider" t="spb"/>
    <k n="Attribution" t="spb"/>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Descripción" t="s"/>
    <k n="Hogares" t="r"/>
    <k n="Imagen" t="r"/>
    <k n="LearnMoreOnLink"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Hogares" t="r"/>
    <k n="Imagen" t="r"/>
    <k n="LearnMoreOnLink"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Hogares" t="r"/>
    <k n="Imagen" t="r"/>
    <k n="LearnMoreOnLink" t="r"/>
    <k n="Líder(es)"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íder(es)" t="r"/>
    <k n="Longitud" t="r"/>
    <k n="Nombre" t="s"/>
    <k n="País o región" t="r"/>
    <k n="Población" t="r"/>
    <k n="UniqueName" t="s"/>
    <k n="VDPID/VSID" t="s"/>
    <k n="Zona(s) horaria(s)" t="r"/>
  </s>
</rvStructures>
</file>

<file path=xl/richData/rdsupportingpropertybag.xml><?xml version="1.0" encoding="utf-8"?>
<supportingPropertyBags xmlns="http://schemas.microsoft.com/office/spreadsheetml/2017/richdata2">
  <spbArrays count="8">
    <a count="25">
      <v t="s">%EntityServiceId</v>
      <v t="s">%IsRefreshable</v>
      <v t="s">_CanonicalPropertyNames</v>
      <v t="s">%EntityCulture</v>
      <v t="s">%EntityId</v>
      <v t="s">_Icon</v>
      <v t="s">_Provider</v>
      <v t="s">_Attribution</v>
      <v t="s">_Display</v>
      <v t="s">Nombre</v>
      <v t="s">_Format</v>
      <v t="s">País o región</v>
      <v t="s">_SubLabel</v>
      <v t="s">Población</v>
      <v t="s">`Área</v>
      <v t="s">Abreviatura</v>
      <v t="s">Hogares</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Capital/ciudad principal</v>
      <v t="s">País o región</v>
      <v t="s">_SubLabel</v>
      <v t="s">Población</v>
      <v t="s">`Área</v>
      <v t="s">Abreviatura</v>
      <v t="s">Ciudad más grande</v>
      <v t="s">Hogares</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Zona(s) horaria(s)</v>
      <v t="s">_Flags</v>
      <v t="s">VDPID/VSID</v>
      <v t="s">UniqueName</v>
      <v t="s">_DisplayString</v>
      <v t="s">LearnMoreOnLink</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Descripción</v>
    </a>
    <a count="28">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Hogares</v>
      <v t="s">Zona(s) horaria(s)</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Latitud</v>
      <v t="s">Longitud</v>
      <v t="s">Zona(s) horaria(s)</v>
      <v t="s">_Flags</v>
      <v t="s">VDPID/VSID</v>
      <v t="s">UniqueName</v>
      <v t="s">_DisplayString</v>
      <v t="s">LearnMoreOnLink</v>
      <v t="s">Imagen</v>
      <v t="s">Descripción</v>
    </a>
  </spbArrays>
  <spbData count="72">
    <spb s="0">
      <v xml:space="preserve">Wikipedia	</v>
      <v xml:space="preserve">CC-BY-SA	</v>
      <v xml:space="preserve">http://en.wikipedia.org/wiki/Mexico_City	</v>
      <v xml:space="preserve">http://creativecommons.org/licenses/by-sa/3.0/	</v>
    </spb>
    <spb s="0">
      <v xml:space="preserve">Wikipedia	Wikipedia	</v>
      <v xml:space="preserve">CC-BY-SA	CC-BY-SA	</v>
      <v xml:space="preserve">http://en.wikipedia.org/wiki/Mexico_City	http://es.wikipedia.org/wiki/Ciudad_de_México	</v>
      <v xml:space="preserve">http://creativecommons.org/licenses/by-sa/3.0/	http://creativecommons.org/licenses/by-sa/3.0/	</v>
    </spb>
    <spb s="0">
      <v xml:space="preserve">beta.inegi.org.mx	</v>
      <v xml:space="preserve">	</v>
      <v xml:space="preserve">http://www.beta.inegi.org.mx/app/tmp/Infoenoe/Default_15mas_en.aspx#EmploymentAmount	</v>
      <v xml:space="preserve">	</v>
    </spb>
    <spb s="0">
      <v xml:space="preserve">Wikipedia	</v>
      <v xml:space="preserve">CC-BY-SA	</v>
      <v xml:space="preserve">http://es.wikipedia.org/wiki/Ciudad_de_México	</v>
      <v xml:space="preserve">http://creativecommons.org/licenses/by-sa/3.0/	</v>
    </spb>
    <spb s="1">
      <v>0</v>
      <v>1</v>
      <v>2</v>
      <v>0</v>
      <v>1</v>
      <v>0</v>
      <v>3</v>
      <v>1</v>
    </spb>
    <spb s="2">
      <v>Area</v>
      <v>Image</v>
      <v>Name</v>
      <v>Households</v>
      <v>Population</v>
      <v>UniqueName</v>
      <v>VDPID/VSID</v>
      <v>Abbreviation</v>
      <v>Description</v>
      <v>Country/region</v>
      <v>LearnMoreOnLink</v>
    </spb>
    <spb s="3">
      <v>0</v>
      <v>Name</v>
      <v>LearnMoreOnLink</v>
    </spb>
    <spb s="4">
      <v>0</v>
      <v>0</v>
      <v>0</v>
    </spb>
    <spb s="5">
      <v>0</v>
      <v>0</v>
    </spb>
    <spb s="6">
      <v>7</v>
      <v>7</v>
      <v>8</v>
      <v>7</v>
    </spb>
    <spb s="7">
      <v>1</v>
      <v>2</v>
      <v>3</v>
    </spb>
    <spb s="8">
      <v>https://www.bing.com</v>
      <v>https://www.bing.com/th?id=Ga%5Cbing_yt.png&amp;w=100&amp;h=40&amp;c=0&amp;pid=0.1</v>
      <v>Con tecnología de Bing</v>
    </spb>
    <spb s="9">
      <v>kilómetro cuadrado</v>
      <v>2017</v>
      <v>2020</v>
    </spb>
    <spb s="10">
      <v>4</v>
    </spb>
    <spb s="0">
      <v xml:space="preserve">Wikipedia	</v>
      <v xml:space="preserve">Public domain	</v>
      <v xml:space="preserve">http://sv.wikipedia.org/wiki/Mexico_City	</v>
      <v xml:space="preserve">http://en.wikipedia.org/wiki/Public_domain	</v>
    </spb>
    <spb s="0">
      <v xml:space="preserve">Wikipedia	</v>
      <v xml:space="preserve">CC-BY-SA	</v>
      <v xml:space="preserve">http://en.wikipedia.org/wiki/Campeche	</v>
      <v xml:space="preserve">http://creativecommons.org/licenses/by-sa/3.0/	</v>
    </spb>
    <spb s="0">
      <v xml:space="preserve">Wikipedia	Wikipedia	</v>
      <v xml:space="preserve">CC-BY-SA	CC-BY-SA	</v>
      <v xml:space="preserve">http://en.wikipedia.org/wiki/Campeche	http://es.wikipedia.org/wiki/Campeche	</v>
      <v xml:space="preserve">http://creativecommons.org/licenses/by-sa/3.0/	http://creativecommons.org/licenses/by-sa/3.0/	</v>
    </spb>
    <spb s="0">
      <v xml:space="preserve">Wikipedia	</v>
      <v xml:space="preserve">CC-BY-SA	</v>
      <v xml:space="preserve">http://es.wikipedia.org/wiki/Campeche	</v>
      <v xml:space="preserve">http://creativecommons.org/licenses/by-sa/3.0/	</v>
    </spb>
    <spb s="11">
      <v>15</v>
      <v>16</v>
      <v>2</v>
      <v>15</v>
      <v>16</v>
      <v>15</v>
      <v>17</v>
      <v>16</v>
      <v>16</v>
    </spb>
    <spb s="12">
      <v>Area</v>
      <v>Image</v>
      <v>Name</v>
      <v>Households</v>
      <v>Population</v>
      <v>UniqueName</v>
      <v>VDPID/VSID</v>
      <v>Abbreviation</v>
      <v>Description</v>
      <v>Country/region</v>
      <v>LearnMoreOnLink</v>
      <v>Largest city</v>
      <v>Capital/Major City</v>
    </spb>
    <spb s="3">
      <v>1</v>
      <v>Name</v>
      <v>LearnMoreOnLink</v>
    </spb>
    <spb s="0">
      <v xml:space="preserve">Wikipedia	</v>
      <v xml:space="preserve">Public domain	</v>
      <v xml:space="preserve">http://en.wikipedia.org/wiki/Campeche	</v>
      <v xml:space="preserve">http://en.wikipedia.org/wiki/Public_domain	</v>
    </spb>
    <spb s="0">
      <v xml:space="preserve">Wikipedia	</v>
      <v xml:space="preserve">CC-BY-SA	</v>
      <v xml:space="preserve">http://en.wikipedia.org/wiki/Acapulco	</v>
      <v xml:space="preserve">http://creativecommons.org/licenses/by-sa/3.0/	</v>
    </spb>
    <spb s="0">
      <v xml:space="preserve">Wikipedia	Wikipedia	</v>
      <v xml:space="preserve">CC-BY-SA	CC-BY-SA	</v>
      <v xml:space="preserve">http://en.wikipedia.org/wiki/Acapulco	http://es.wikipedia.org/wiki/Acapulco_de_Juárez	</v>
      <v xml:space="preserve">http://creativecommons.org/licenses/by-sa/3.0/	http://creativecommons.org/licenses/by-sa/3.0/	</v>
    </spb>
    <spb s="0">
      <v xml:space="preserve">Wikipedia	</v>
      <v xml:space="preserve">CC-BY-SA	</v>
      <v xml:space="preserve">http://es.wikipedia.org/wiki/Acapulco_de_Juárez	</v>
      <v xml:space="preserve">http://creativecommons.org/licenses/by-sa/3.0/	</v>
    </spb>
    <spb s="13">
      <v>22</v>
      <v>23</v>
      <v>22</v>
      <v>23</v>
      <v>24</v>
      <v>23</v>
      <v>23</v>
      <v>23</v>
    </spb>
    <spb s="14">
      <v>Area</v>
      <v>Image</v>
      <v>Name</v>
      <v>Latitude</v>
      <v>Longitude</v>
      <v>Population</v>
      <v>UniqueName</v>
      <v>VDPID/VSID</v>
      <v>Description</v>
      <v>Country/region</v>
      <v>LearnMoreOnLink</v>
      <v>Admin Division 1 (State/province/other)</v>
      <v>Admin Division 2 (County/district/other)</v>
    </spb>
    <spb s="3">
      <v>2</v>
      <v>Name</v>
      <v>LearnMoreOnLink</v>
    </spb>
    <spb s="15">
      <v>kilómetro cuadrado</v>
      <v>2012</v>
    </spb>
    <spb s="0">
      <v xml:space="preserve">Wikipedia	</v>
      <v xml:space="preserve">Public domain	</v>
      <v xml:space="preserve">http://it.wikipedia.org/wiki/Acapulco	</v>
      <v xml:space="preserve">http://en.wikipedia.org/wiki/Public_domain	</v>
    </spb>
    <spb s="10">
      <v>5</v>
    </spb>
    <spb s="0">
      <v xml:space="preserve">Wikipedia	Wikipedia	Wikipedia	</v>
      <v xml:space="preserve">CC-BY-SA	CC-BY-SA	CC-BY-SA	</v>
      <v xml:space="preserve">http://en.wikipedia.org/wiki/Guadalajara	http://es.wikipedia.org/wiki/Guadalajara_(México)	http://de.wikipedia.org/wiki/Guadalajara_(Mexiko)	</v>
      <v xml:space="preserve">http://creativecommons.org/licenses/by-sa/3.0/	http://creativecommons.org/licenses/by-sa/3.0/	http://creativecommons.org/licenses/by-sa/3.0/	</v>
    </spb>
    <spb s="0">
      <v xml:space="preserve">Wikipedia	Wikipedia	</v>
      <v xml:space="preserve">CC-BY-SA	CC-BY-SA	</v>
      <v xml:space="preserve">http://en.wikipedia.org/wiki/Guadalajara	http://es.wikipedia.org/wiki/Guadalajara_(México)	</v>
      <v xml:space="preserve">http://creativecommons.org/licenses/by-sa/3.0/	http://creativecommons.org/licenses/by-sa/3.0/	</v>
    </spb>
    <spb s="0">
      <v xml:space="preserve">Wikipedia	</v>
      <v xml:space="preserve">CC-BY-SA	</v>
      <v xml:space="preserve">http://en.wikipedia.org/wiki/Guadalajara	</v>
      <v xml:space="preserve">http://creativecommons.org/licenses/by-sa/3.0/	</v>
    </spb>
    <spb s="0">
      <v xml:space="preserve">Wikipedia	</v>
      <v xml:space="preserve">CC-BY-SA	</v>
      <v xml:space="preserve">http://es.wikipedia.org/wiki/Guadalajara_(México)	</v>
      <v xml:space="preserve">http://creativecommons.org/licenses/by-sa/3.0/	</v>
    </spb>
    <spb s="16">
      <v>31</v>
      <v>32</v>
      <v>33</v>
      <v>32</v>
      <v>34</v>
      <v>32</v>
      <v>32</v>
    </spb>
    <spb s="17">
      <v>Area</v>
      <v>Name</v>
      <v>Latitude</v>
      <v>Longitude</v>
      <v>Population</v>
      <v>UniqueName</v>
      <v>VDPID/VSID</v>
      <v>Description</v>
      <v>Country/region</v>
      <v>LearnMoreOnLink</v>
      <v>Admin Division 1 (State/province/other)</v>
    </spb>
    <spb s="3">
      <v>3</v>
      <v>Name</v>
      <v>LearnMoreOnLink</v>
    </spb>
    <spb s="18">
      <v>2</v>
      <v>3</v>
    </spb>
    <spb s="15">
      <v>kilómetro cuadrado</v>
      <v>2015</v>
    </spb>
    <spb s="0">
      <v xml:space="preserve">Wikipedia	</v>
      <v xml:space="preserve">CC-BY-SA	</v>
      <v xml:space="preserve">http://en.wikipedia.org/wiki/Monterrey	</v>
      <v xml:space="preserve">http://creativecommons.org/licenses/by-sa/3.0/	</v>
    </spb>
    <spb s="0">
      <v xml:space="preserve">Wikipedia	Wikipedia	</v>
      <v xml:space="preserve">CC-BY-SA	CC-BY-SA	</v>
      <v xml:space="preserve">http://en.wikipedia.org/wiki/Monterrey	http://es.wikipedia.org/wiki/Monterrey	</v>
      <v xml:space="preserve">http://creativecommons.org/licenses/by-sa/3.0/	http://creativecommons.org/licenses/by-sa/3.0/	</v>
    </spb>
    <spb s="0">
      <v xml:space="preserve">Wikipedia	</v>
      <v xml:space="preserve">CC-BY-SA	</v>
      <v xml:space="preserve">http://es.wikipedia.org/wiki/Monterrey	</v>
      <v xml:space="preserve">http://creativecommons.org/licenses/by-sa/3.0/	</v>
    </spb>
    <spb s="13">
      <v>40</v>
      <v>41</v>
      <v>40</v>
      <v>41</v>
      <v>42</v>
      <v>41</v>
      <v>41</v>
      <v>40</v>
    </spb>
    <spb s="19">
      <v>Area</v>
      <v>Name</v>
      <v>Latitude</v>
      <v>Longitude</v>
      <v>Population</v>
      <v>UniqueName</v>
      <v>VDPID/VSID</v>
      <v>Description</v>
      <v>Country/region</v>
      <v>LearnMoreOnLink</v>
      <v>Admin Division 1 (State/province/other)</v>
      <v>Admin Division 2 (County/district/other)</v>
    </spb>
    <spb s="3">
      <v>4</v>
      <v>Name</v>
      <v>LearnMoreOnLink</v>
    </spb>
    <spb s="0">
      <v xml:space="preserve">Wikipedia	</v>
      <v xml:space="preserve">CC-BY-SA	</v>
      <v xml:space="preserve">http://en.wikipedia.org/wiki/Oaxaca	</v>
      <v xml:space="preserve">http://creativecommons.org/licenses/by-sa/3.0/	</v>
    </spb>
    <spb s="0">
      <v xml:space="preserve">Wikipedia	Wikipedia	</v>
      <v xml:space="preserve">CC-BY-SA	CC-BY-SA	</v>
      <v xml:space="preserve">http://en.wikipedia.org/wiki/Oaxaca	http://es.wikipedia.org/wiki/Oaxaca	</v>
      <v xml:space="preserve">http://creativecommons.org/licenses/by-sa/3.0/	http://creativecommons.org/licenses/by-sa/3.0/	</v>
    </spb>
    <spb s="0">
      <v xml:space="preserve">Wikipedia	</v>
      <v xml:space="preserve">CC-BY-SA	</v>
      <v xml:space="preserve">http://es.wikipedia.org/wiki/Oaxaca	</v>
      <v xml:space="preserve">http://creativecommons.org/licenses/by-sa/3.0/	</v>
    </spb>
    <spb s="20">
      <v>46</v>
      <v>47</v>
      <v>2</v>
      <v>46</v>
      <v>47</v>
      <v>46</v>
      <v>48</v>
      <v>47</v>
      <v>47</v>
      <v>47</v>
    </spb>
    <spb s="3">
      <v>5</v>
      <v>Name</v>
      <v>LearnMoreOnLink</v>
    </spb>
    <spb s="0">
      <v xml:space="preserve">Wikipedia	</v>
      <v xml:space="preserve">Public domain	</v>
      <v xml:space="preserve">http://en.wikipedia.org/wiki/Oaxaca	</v>
      <v xml:space="preserve">http://en.wikipedia.org/wiki/Public_domain	</v>
    </spb>
    <spb s="0">
      <v xml:space="preserve">Wikipedia	</v>
      <v xml:space="preserve">CC-BY-SA	</v>
      <v xml:space="preserve">http://en.wikipedia.org/wiki/Cancún	</v>
      <v xml:space="preserve">http://creativecommons.org/licenses/by-sa/3.0/	</v>
    </spb>
    <spb s="0">
      <v xml:space="preserve">Wikipedia	plus.google.com	</v>
      <v xml:space="preserve">CC-BY-SA		</v>
      <v xml:space="preserve">http://es.wikipedia.org/wiki/Cancún	http://plus.google.com/106118424557314406657	</v>
      <v xml:space="preserve">http://creativecommons.org/licenses/by-sa/3.0/		</v>
    </spb>
    <spb s="0">
      <v xml:space="preserve">Wikipedia	</v>
      <v xml:space="preserve">CC-BY-SA	</v>
      <v xml:space="preserve">http://es.wikipedia.org/wiki/Cancún	</v>
      <v xml:space="preserve">http://creativecommons.org/licenses/by-sa/3.0/	</v>
    </spb>
    <spb s="0">
      <v xml:space="preserve">Wikipedia	Wikipedia	plus.google.com	</v>
      <v xml:space="preserve">CC-BY-SA	CC-BY-SA		</v>
      <v xml:space="preserve">http://en.wikipedia.org/wiki/Cancún	http://es.wikipedia.org/wiki/Cancún	http://plus.google.com/106118424557314406657	</v>
      <v xml:space="preserve">http://creativecommons.org/licenses/by-sa/3.0/	http://creativecommons.org/licenses/by-sa/3.0/		</v>
    </spb>
    <spb s="16">
      <v>52</v>
      <v>53</v>
      <v>52</v>
      <v>53</v>
      <v>54</v>
      <v>55</v>
      <v>55</v>
    </spb>
    <spb s="3">
      <v>6</v>
      <v>Name</v>
      <v>LearnMoreOnLink</v>
    </spb>
    <spb s="15">
      <v>kilómetro cuadrado</v>
      <v>2020</v>
    </spb>
    <spb s="0">
      <v xml:space="preserve">Wikipedia	</v>
      <v xml:space="preserve">CC-BY-SA	</v>
      <v xml:space="preserve">http://en.wikipedia.org/wiki/Coatzacoalcos	</v>
      <v xml:space="preserve">http://creativecommons.org/licenses/by-sa/3.0/	</v>
    </spb>
    <spb s="0">
      <v xml:space="preserve">Wikipedia	Wikipedia	</v>
      <v xml:space="preserve">CC-BY-SA	CC-BY-SA	</v>
      <v xml:space="preserve">http://en.wikipedia.org/wiki/Coatzacoalcos	http://es.wikipedia.org/wiki/Coatzacoalcos	</v>
      <v xml:space="preserve">http://creativecommons.org/licenses/by-sa/3.0/	http://creativecommons.org/licenses/by-sa/3.0/	</v>
    </spb>
    <spb s="0">
      <v xml:space="preserve">Wikipedia	</v>
      <v xml:space="preserve">CC-BY-SA	</v>
      <v xml:space="preserve">http://es.wikipedia.org/wiki/Coatzacoalcos	</v>
      <v xml:space="preserve">http://creativecommons.org/licenses/by-sa/3.0/	</v>
    </spb>
    <spb s="13">
      <v>59</v>
      <v>60</v>
      <v>59</v>
      <v>60</v>
      <v>61</v>
      <v>60</v>
      <v>60</v>
      <v>60</v>
    </spb>
    <spb s="0">
      <v xml:space="preserve">Wikipedia	Wikipedia	</v>
      <v xml:space="preserve">CC-BY-SA	CC-BY-SA	</v>
      <v xml:space="preserve">http://es.wikipedia.org/wiki/Mérida_(México)	http://lv.wikipedia.org/wiki/Merida_(Meksika)	</v>
      <v xml:space="preserve">http://creativecommons.org/licenses/by-sa/3.0/	http://creativecommons.org/licenses/by-sa/3.0/	</v>
    </spb>
    <spb s="0">
      <v xml:space="preserve">Wikipedia	</v>
      <v xml:space="preserve">CC-BY-SA	</v>
      <v xml:space="preserve">http://en.wikipedia.org/wiki/Mérida,_Yucatán	</v>
      <v xml:space="preserve">http://creativecommons.org/licenses/by-sa/3.0/	</v>
    </spb>
    <spb s="0">
      <v xml:space="preserve">Wikipedia	</v>
      <v xml:space="preserve">CC-BY-SA	</v>
      <v xml:space="preserve">http://es.wikipedia.org/wiki/Mérida_(México)	</v>
      <v xml:space="preserve">http://creativecommons.org/licenses/by-sa/3.0/	</v>
    </spb>
    <spb s="0">
      <v xml:space="preserve">Wikipedia	Wikipedia	Wikipedia	</v>
      <v xml:space="preserve">CC-BY-SA	CC-BY-SA	CC-BY-SA	</v>
      <v xml:space="preserve">http://en.wikipedia.org/wiki/Mérida,_Yucatán	http://es.wikipedia.org/wiki/Mérida_(México)	http://lv.wikipedia.org/wiki/Merida_(Meksika)	</v>
      <v xml:space="preserve">http://creativecommons.org/licenses/by-sa/3.0/	http://creativecommons.org/licenses/by-sa/3.0/	http://creativecommons.org/licenses/by-sa/3.0/	</v>
    </spb>
    <spb s="21">
      <v>63</v>
      <v>64</v>
      <v>63</v>
      <v>65</v>
      <v>66</v>
      <v>66</v>
    </spb>
    <spb s="22">
      <v>Image</v>
      <v>Name</v>
      <v>Latitude</v>
      <v>Longitude</v>
      <v>Population</v>
      <v>UniqueName</v>
      <v>VDPID/VSID</v>
      <v>Description</v>
      <v>Country/region</v>
      <v>LearnMoreOnLink</v>
      <v>Admin Division 1 (State/province/other)</v>
    </spb>
    <spb s="3">
      <v>7</v>
      <v>Name</v>
      <v>LearnMoreOnLink</v>
    </spb>
    <spb s="23">
      <v>2022</v>
    </spb>
    <spb s="0">
      <v xml:space="preserve">Wikipedia	</v>
      <v xml:space="preserve">CC BY-SA 4.0	</v>
      <v xml:space="preserve">http://es.wikipedia.org/wiki/Mérida_(México)	</v>
      <v xml:space="preserve">https://creativecommons.org/licenses/by-sa/4.0	</v>
    </spb>
  </spbData>
</supportingPropertyBags>
</file>

<file path=xl/richData/rdsupportingpropertybagstructure.xml><?xml version="1.0" encoding="utf-8"?>
<spbStructures xmlns="http://schemas.microsoft.com/office/spreadsheetml/2017/richdata2" count="24">
  <s>
    <k n="SourceText" t="s"/>
    <k n="LicenseText" t="s"/>
    <k n="SourceAddress" t="s"/>
    <k n="LicenseAddress" t="s"/>
  </s>
  <s>
    <k n="`Área" t="spb"/>
    <k n="Nombre" t="spb"/>
    <k n="Hogares" t="spb"/>
    <k n="Población" t="spb"/>
    <k n="UniqueName" t="spb"/>
    <k n="Abreviatura" t="spb"/>
    <k n="Descripción" t="spb"/>
    <k n="País o región" t="spb"/>
  </s>
  <s>
    <k n="Área" t="s"/>
    <k n="Imagen" t="s"/>
    <k n="Nombre" t="s"/>
    <k n="Hogares" t="s"/>
    <k n="Población" t="s"/>
    <k n="UniqueName" t="s"/>
    <k n="VDPID/VSID" t="s"/>
    <k n="Abreviatura" t="s"/>
    <k n="Descripción" t="s"/>
    <k n="País o región" t="s"/>
    <k n="LearnMoreOnLink" t="s"/>
  </s>
  <s>
    <k n="^Order" t="spba"/>
    <k n="TitleProperty" t="s"/>
    <k n="SubTitleProperty" t="s"/>
  </s>
  <s>
    <k n="ShowInCardView" t="b"/>
    <k n="ShowInDotNotation" t="b"/>
    <k n="ShowInAutoComplete" t="b"/>
  </s>
  <s>
    <k n="ShowInDotNotation" t="b"/>
    <k n="ShowInAutoComplete" t="b"/>
  </s>
  <s>
    <k n="UniqueName" t="spb"/>
    <k n="VDPID/VSID" t="spb"/>
    <k n="Descripción" t="spb"/>
    <k n="LearnMoreOnLink" t="spb"/>
  </s>
  <s>
    <k n="Imagen" t="i"/>
    <k n="Nombre" t="i"/>
    <k n="Descripción" t="i"/>
  </s>
  <s>
    <k n="link" t="s"/>
    <k n="logo" t="s"/>
    <k n="name" t="s"/>
  </s>
  <s>
    <k n="`Área" t="s"/>
    <k n="Hogares" t="s"/>
    <k n="Población" t="s"/>
  </s>
  <s>
    <k n="_Self" t="i"/>
  </s>
  <s>
    <k n="`Área" t="spb"/>
    <k n="Nombre" t="spb"/>
    <k n="Hogares" t="spb"/>
    <k n="Población" t="spb"/>
    <k n="UniqueName" t="spb"/>
    <k n="Abreviatura" t="spb"/>
    <k n="Descripción" t="spb"/>
    <k n="País o región" t="spb"/>
    <k n="Capital/ciudad principal" t="spb"/>
  </s>
  <s>
    <k n="Área" t="s"/>
    <k n="Imagen" t="s"/>
    <k n="Nombre" t="s"/>
    <k n="Hogares" t="s"/>
    <k n="Población" t="s"/>
    <k n="UniqueName" t="s"/>
    <k n="VDPID/VSID" t="s"/>
    <k n="Abreviatura" t="s"/>
    <k n="Descripción" t="s"/>
    <k n="País o región" t="s"/>
    <k n="LearnMoreOnLink" t="s"/>
    <k n="Ciudad más grande" t="s"/>
    <k n="Capital/ciudad principal" t="s"/>
  </s>
  <s>
    <k n="`Área" t="spb"/>
    <k n="Nombre"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Área" t="s"/>
    <k n="Población" t="s"/>
  </s>
  <s>
    <k n="`Área" t="spb"/>
    <k n="Nombre" t="spb"/>
    <k n="Población" t="spb"/>
    <k n="UniqueName" t="spb"/>
    <k n="Descripción" t="spb"/>
    <k n="País o región" t="spb"/>
    <k n="División de administración 1 (estado/provincia/otro)" t="spb"/>
  </s>
  <s>
    <k n="Área" t="s"/>
    <k n="Nombre" t="s"/>
    <k n="Latitud" t="s"/>
    <k n="Longitud" t="s"/>
    <k n="Población" t="s"/>
    <k n="UniqueName" t="s"/>
    <k n="VDPID/VSID" t="s"/>
    <k n="Descripción" t="s"/>
    <k n="País o región" t="s"/>
    <k n="LearnMoreOnLink" t="s"/>
    <k n="División de administración 1 (estado/provincia/otro)" t="s"/>
  </s>
  <s>
    <k n="Nombre" t="i"/>
    <k n="Descripción" t="i"/>
  </s>
  <s>
    <k n="Área"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Área" t="spb"/>
    <k n="Nombre" t="spb"/>
    <k n="Hogares" t="spb"/>
    <k n="Población" t="spb"/>
    <k n="UniqueName" t="spb"/>
    <k n="Abreviatura" t="spb"/>
    <k n="Descripción" t="spb"/>
    <k n="País o región" t="spb"/>
    <k n="Ciudad más grande" t="spb"/>
    <k n="Capital/ciudad principal" t="spb"/>
  </s>
  <s>
    <k n="Nombre"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HeroField" t="b"/>
    <rPr n="IsTitleField" t="b"/>
    <rPr n="RequiresInlineAttribution" t="b"/>
    <rPr n="NumberFormat" t="s"/>
  </richProperties>
  <richStyles>
    <rSty>
      <rpv i="0">1</rpv>
    </rSty>
    <rSty>
      <rpv i="1">1</rpv>
    </rSty>
    <rSty>
      <rpv i="2">1</rpv>
    </rSty>
    <rSty dxfid="0">
      <rpv i="3">#,##0</rpv>
    </rSty>
    <rSty dxfid="1">
      <rpv i="3">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VENTA" xr10:uid="{9966C092-4FAD-43AC-9175-97A62288C008}" sourceName="TIPO DE VENTA">
  <pivotTables>
    <pivotTable tabId="2" name="TablaDinámica1"/>
  </pivotTables>
  <data>
    <tabular pivotCacheId="1168891239">
      <items count="6">
        <i x="0" s="1"/>
        <i x="2" s="1"/>
        <i x="1" s="1"/>
        <i x="3" s="1" nd="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_de_PROCESO" xr10:uid="{474153D6-F611-4685-A52D-EA798A65D019}" sourceName="C de PROCESO">
  <pivotTables>
    <pivotTable tabId="2" name="TablaDinámica5"/>
  </pivotTables>
  <data>
    <tabular pivotCacheId="974309153">
      <items count="24">
        <i x="2" s="1"/>
        <i x="1" s="1"/>
        <i x="8" s="1"/>
        <i x="6" s="1"/>
        <i x="7" s="1"/>
        <i x="3" s="1"/>
        <i x="5" s="1"/>
        <i x="0" s="1"/>
        <i x="9" s="1"/>
        <i x="4" s="1"/>
        <i x="15" nd="1"/>
        <i x="16" nd="1"/>
        <i x="18" nd="1"/>
        <i x="12" nd="1"/>
        <i x="11" nd="1"/>
        <i x="19" nd="1"/>
        <i x="10" nd="1"/>
        <i x="13" nd="1"/>
        <i x="14" nd="1"/>
        <i x="22" nd="1"/>
        <i x="21" nd="1"/>
        <i x="23" nd="1"/>
        <i x="20" nd="1"/>
        <i x="1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DE VENTA" xr10:uid="{B1941781-0771-442D-89D8-D61477B3A141}" cache="SegmentaciónDeDatos_TIPO_DE_VENTA" caption="TIPO DE VENTA" columnCount="3" showCaption="0" style="SlicerStyleDark1" rowHeight="234950"/>
  <slicer name="C de PROCESO" xr10:uid="{BDC376AA-E496-4C8B-9896-616F145B79F0}" cache="SegmentaciónDeDatos_C_de_PROCESO" caption="C de PROCESO" columnCount="10" showCaption="0" style="SlicerStyleDark1" rowHeight="234950"/>
</slicers>
</file>

<file path=xl/theme/theme1.xml><?xml version="1.0" encoding="utf-8"?>
<a:theme xmlns:a="http://schemas.openxmlformats.org/drawingml/2006/main" name="Galería">
  <a:themeElements>
    <a:clrScheme name="Violeta">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Galería">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ería">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4AA49-ACA7-4536-A253-488164789E8F}">
  <sheetPr codeName="Hoja1"/>
  <dimension ref="A1:W34"/>
  <sheetViews>
    <sheetView showGridLines="0" showRowColHeaders="0" showZeros="0" tabSelected="1" zoomScale="70" zoomScaleNormal="70" workbookViewId="0"/>
  </sheetViews>
  <sheetFormatPr baseColWidth="10" defaultRowHeight="17.25" x14ac:dyDescent="0.35"/>
  <cols>
    <col min="1" max="1" width="3.875" customWidth="1"/>
    <col min="7" max="7" width="7.75" customWidth="1"/>
    <col min="8" max="8" width="5.125" customWidth="1"/>
    <col min="9" max="9" width="15.5" customWidth="1"/>
    <col min="11" max="11" width="5.5" customWidth="1"/>
    <col min="12" max="15" width="5.75" customWidth="1"/>
    <col min="16" max="16" width="3.75" customWidth="1"/>
    <col min="17" max="17" width="8.125" customWidth="1"/>
    <col min="18" max="18" width="14" customWidth="1"/>
    <col min="19" max="19" width="8.5" customWidth="1"/>
    <col min="23" max="23" width="12.375" customWidth="1"/>
  </cols>
  <sheetData>
    <row r="1" spans="1:23" ht="34.9" customHeight="1" x14ac:dyDescent="0.35">
      <c r="A1" s="31"/>
      <c r="B1" s="31"/>
      <c r="C1" s="31"/>
      <c r="D1" s="31"/>
      <c r="E1" s="31"/>
      <c r="F1" s="31"/>
      <c r="G1" s="31"/>
      <c r="H1" s="31"/>
      <c r="I1" s="31"/>
      <c r="J1" s="31"/>
      <c r="K1" s="31"/>
      <c r="L1" s="31"/>
      <c r="M1" s="31"/>
      <c r="N1" s="31"/>
      <c r="O1" s="31"/>
      <c r="P1" s="31"/>
      <c r="Q1" s="31"/>
      <c r="R1" s="31"/>
      <c r="S1" s="31"/>
      <c r="T1" s="31"/>
      <c r="U1" s="31"/>
      <c r="V1" s="31"/>
      <c r="W1" s="31"/>
    </row>
    <row r="2" spans="1:23" ht="28.15" customHeight="1" x14ac:dyDescent="0.35">
      <c r="A2" s="31"/>
      <c r="B2" s="31"/>
      <c r="C2" s="31"/>
      <c r="D2" s="31"/>
      <c r="E2" s="31"/>
      <c r="F2" s="31"/>
      <c r="G2" s="31"/>
      <c r="H2" s="31"/>
      <c r="I2" s="31"/>
      <c r="J2" s="31"/>
      <c r="K2" s="31"/>
      <c r="L2" s="31"/>
      <c r="M2" s="31"/>
      <c r="N2" s="31"/>
      <c r="O2" s="31"/>
      <c r="P2" s="31"/>
      <c r="Q2" s="31"/>
      <c r="R2" s="31"/>
      <c r="S2" s="31"/>
      <c r="T2" s="31"/>
      <c r="U2" s="31"/>
      <c r="V2" s="31"/>
      <c r="W2" s="31"/>
    </row>
    <row r="3" spans="1:23" x14ac:dyDescent="0.35">
      <c r="A3" s="31"/>
      <c r="B3" s="31"/>
      <c r="C3" s="31"/>
      <c r="D3" s="31"/>
      <c r="E3" s="31"/>
      <c r="F3" s="31"/>
      <c r="G3" s="31"/>
      <c r="H3" s="31"/>
      <c r="I3" s="31"/>
      <c r="J3" s="31"/>
      <c r="K3" s="31"/>
      <c r="L3" s="31"/>
      <c r="M3" s="31"/>
      <c r="N3" s="31"/>
      <c r="O3" s="31"/>
      <c r="P3" s="31"/>
      <c r="Q3" s="31"/>
      <c r="R3" s="31"/>
      <c r="S3" s="31"/>
      <c r="T3" s="31"/>
      <c r="U3" s="31"/>
      <c r="V3" s="31"/>
      <c r="W3" s="31"/>
    </row>
    <row r="4" spans="1:23" ht="11.65" customHeight="1" x14ac:dyDescent="0.35">
      <c r="A4" s="31"/>
      <c r="B4" s="31"/>
      <c r="C4" s="31"/>
      <c r="D4" s="31"/>
      <c r="E4" s="31"/>
      <c r="F4" s="31"/>
      <c r="G4" s="31"/>
      <c r="H4" s="31"/>
      <c r="I4" s="31"/>
      <c r="J4" s="31"/>
      <c r="K4" s="31"/>
      <c r="L4" s="31"/>
      <c r="M4" s="31"/>
      <c r="N4" s="31"/>
      <c r="O4" s="31"/>
      <c r="P4" s="31"/>
      <c r="Q4" s="31"/>
      <c r="R4" s="31"/>
      <c r="S4" s="31"/>
      <c r="T4" s="31"/>
      <c r="U4" s="31"/>
      <c r="V4" s="31"/>
      <c r="W4" s="31"/>
    </row>
    <row r="5" spans="1:23" x14ac:dyDescent="0.35">
      <c r="A5" s="31"/>
      <c r="B5" s="31"/>
      <c r="C5" s="31"/>
      <c r="D5" s="31"/>
      <c r="E5" s="31"/>
      <c r="F5" s="31"/>
      <c r="G5" s="31"/>
      <c r="H5" s="31"/>
      <c r="I5" s="31"/>
      <c r="J5" s="31"/>
      <c r="K5" s="31"/>
      <c r="L5" s="31"/>
      <c r="M5" s="31"/>
      <c r="N5" s="31"/>
      <c r="O5" s="31"/>
      <c r="P5" s="31"/>
      <c r="Q5" s="31"/>
      <c r="R5" s="31"/>
      <c r="S5" s="31"/>
      <c r="T5" s="31"/>
      <c r="U5" s="31"/>
      <c r="V5" s="31"/>
      <c r="W5" s="31"/>
    </row>
    <row r="6" spans="1:23" ht="18.399999999999999" customHeight="1" x14ac:dyDescent="0.35">
      <c r="A6" s="31"/>
      <c r="B6" s="31"/>
      <c r="C6" s="31"/>
      <c r="D6" s="31"/>
      <c r="E6" s="31"/>
      <c r="F6" s="31"/>
      <c r="G6" s="31"/>
      <c r="H6" s="31"/>
      <c r="I6" s="31"/>
      <c r="J6" s="31"/>
      <c r="K6" s="31"/>
      <c r="L6" s="31"/>
      <c r="M6" s="31"/>
      <c r="N6" s="31"/>
      <c r="O6" s="31"/>
      <c r="P6" s="31"/>
      <c r="Q6" s="31"/>
      <c r="R6" s="31"/>
      <c r="S6" s="31"/>
      <c r="T6" s="31"/>
      <c r="U6" s="31"/>
      <c r="V6" s="31"/>
      <c r="W6" s="31"/>
    </row>
    <row r="7" spans="1:23" x14ac:dyDescent="0.35">
      <c r="A7" s="31"/>
      <c r="B7" s="31"/>
      <c r="C7" s="31"/>
      <c r="D7" s="31"/>
      <c r="E7" s="31"/>
      <c r="F7" s="31"/>
      <c r="G7" s="31"/>
      <c r="H7" s="31"/>
      <c r="I7" s="31"/>
      <c r="J7" s="31"/>
      <c r="K7" s="31"/>
      <c r="L7" s="31"/>
      <c r="M7" s="31"/>
      <c r="N7" s="31"/>
      <c r="O7" s="31"/>
      <c r="P7" s="31"/>
      <c r="Q7" s="31"/>
      <c r="R7" s="31"/>
      <c r="S7" s="31"/>
      <c r="T7" s="31"/>
      <c r="U7" s="31"/>
      <c r="V7" s="31"/>
      <c r="W7" s="31"/>
    </row>
    <row r="8" spans="1:23" x14ac:dyDescent="0.35">
      <c r="A8" s="31"/>
      <c r="B8" s="31"/>
      <c r="C8" s="31"/>
      <c r="D8" s="31"/>
      <c r="E8" s="31"/>
      <c r="F8" s="31"/>
      <c r="G8" s="31"/>
      <c r="H8" s="31"/>
      <c r="I8" s="31"/>
      <c r="J8" s="31"/>
      <c r="K8" s="31"/>
      <c r="L8" s="31"/>
      <c r="M8" s="31"/>
      <c r="N8" s="31"/>
      <c r="O8" s="31"/>
      <c r="P8" s="31"/>
      <c r="Q8" s="31"/>
      <c r="R8" s="31"/>
      <c r="S8" s="31"/>
      <c r="T8" s="31"/>
      <c r="U8" s="31"/>
      <c r="V8" s="31"/>
      <c r="W8" s="31"/>
    </row>
    <row r="9" spans="1:23" x14ac:dyDescent="0.35">
      <c r="A9" s="31"/>
      <c r="B9" s="31"/>
      <c r="C9" s="31"/>
      <c r="D9" s="31"/>
      <c r="E9" s="31"/>
      <c r="F9" s="31"/>
      <c r="G9" s="31"/>
      <c r="H9" s="31"/>
      <c r="I9" s="31"/>
      <c r="J9" s="31"/>
      <c r="K9" s="31"/>
      <c r="L9" s="31"/>
      <c r="M9" s="31"/>
      <c r="N9" s="31"/>
      <c r="O9" s="31"/>
      <c r="P9" s="31"/>
      <c r="Q9" s="31"/>
      <c r="R9" s="31"/>
      <c r="S9" s="31"/>
      <c r="T9" s="31"/>
      <c r="U9" s="31"/>
      <c r="V9" s="31"/>
      <c r="W9" s="31"/>
    </row>
    <row r="10" spans="1:23" x14ac:dyDescent="0.35">
      <c r="A10" s="31"/>
      <c r="B10" s="31"/>
      <c r="C10" s="31"/>
      <c r="D10" s="31"/>
      <c r="E10" s="31"/>
      <c r="F10" s="31"/>
      <c r="G10" s="31"/>
      <c r="H10" s="31"/>
      <c r="I10" s="31"/>
      <c r="J10" s="31"/>
      <c r="K10" s="31"/>
      <c r="L10" s="31"/>
      <c r="M10" s="31"/>
      <c r="N10" s="31"/>
      <c r="O10" s="31"/>
      <c r="P10" s="31"/>
      <c r="Q10" s="31"/>
      <c r="R10" s="31"/>
      <c r="S10" s="31"/>
      <c r="T10" s="31"/>
      <c r="U10" s="31"/>
      <c r="V10" s="31"/>
      <c r="W10" s="31"/>
    </row>
    <row r="11" spans="1:23" x14ac:dyDescent="0.35">
      <c r="A11" s="31"/>
      <c r="B11" s="31"/>
      <c r="C11" s="31"/>
      <c r="D11" s="31"/>
      <c r="E11" s="31"/>
      <c r="F11" s="31"/>
      <c r="G11" s="31"/>
      <c r="H11" s="31"/>
      <c r="I11" s="31"/>
      <c r="J11" s="31"/>
      <c r="K11" s="31"/>
      <c r="L11" s="31"/>
      <c r="M11" s="31"/>
      <c r="N11" s="31"/>
      <c r="O11" s="31"/>
      <c r="P11" s="31"/>
      <c r="Q11" s="31"/>
      <c r="R11" s="31"/>
      <c r="S11" s="31"/>
      <c r="T11" s="31"/>
      <c r="U11" s="31"/>
      <c r="V11" s="31"/>
      <c r="W11" s="31"/>
    </row>
    <row r="12" spans="1:23" x14ac:dyDescent="0.35">
      <c r="A12" s="31"/>
      <c r="B12" s="31"/>
      <c r="C12" s="31"/>
      <c r="D12" s="31"/>
      <c r="E12" s="31"/>
      <c r="F12" s="31"/>
      <c r="G12" s="31"/>
      <c r="H12" s="31"/>
      <c r="I12" s="31"/>
      <c r="J12" s="31"/>
      <c r="K12" s="31"/>
      <c r="L12" s="31"/>
      <c r="M12" s="31"/>
      <c r="N12" s="31"/>
      <c r="O12" s="31"/>
      <c r="P12" s="31"/>
      <c r="Q12" s="31"/>
      <c r="R12" s="31"/>
      <c r="S12" s="31"/>
      <c r="T12" s="31"/>
      <c r="U12" s="31"/>
      <c r="V12" s="31"/>
      <c r="W12" s="31"/>
    </row>
    <row r="13" spans="1:23" x14ac:dyDescent="0.35">
      <c r="A13" s="31"/>
      <c r="B13" s="31"/>
      <c r="C13" s="31"/>
      <c r="D13" s="31"/>
      <c r="E13" s="31"/>
      <c r="F13" s="31"/>
      <c r="G13" s="31"/>
      <c r="H13" s="31"/>
      <c r="I13" s="31"/>
      <c r="J13" s="31"/>
      <c r="K13" s="31"/>
      <c r="L13" s="31"/>
      <c r="M13" s="31"/>
      <c r="N13" s="31"/>
      <c r="O13" s="31"/>
      <c r="P13" s="31"/>
      <c r="Q13" s="31"/>
      <c r="R13" s="31"/>
      <c r="S13" s="31"/>
      <c r="T13" s="31"/>
      <c r="U13" s="31"/>
      <c r="V13" s="31"/>
      <c r="W13" s="31"/>
    </row>
    <row r="14" spans="1:23" x14ac:dyDescent="0.35">
      <c r="A14" s="31"/>
      <c r="B14" s="31"/>
      <c r="C14" s="31"/>
      <c r="D14" s="31"/>
      <c r="E14" s="31"/>
      <c r="F14" s="31"/>
      <c r="G14" s="31"/>
      <c r="H14" s="31"/>
      <c r="I14" s="31"/>
      <c r="J14" s="31"/>
      <c r="K14" s="31"/>
      <c r="L14" s="31"/>
      <c r="M14" s="31"/>
      <c r="N14" s="31"/>
      <c r="O14" s="31"/>
      <c r="P14" s="31"/>
      <c r="Q14" s="31"/>
      <c r="R14" s="31"/>
      <c r="S14" s="31"/>
      <c r="T14" s="31"/>
      <c r="U14" s="31"/>
      <c r="V14" s="31"/>
      <c r="W14" s="31"/>
    </row>
    <row r="15" spans="1:23" x14ac:dyDescent="0.35">
      <c r="A15" s="31"/>
      <c r="B15" s="31"/>
      <c r="C15" s="31"/>
      <c r="D15" s="31"/>
      <c r="E15" s="31"/>
      <c r="F15" s="31"/>
      <c r="G15" s="31"/>
      <c r="H15" s="31"/>
      <c r="I15" s="31"/>
      <c r="J15" s="31"/>
      <c r="K15" s="31"/>
      <c r="L15" s="31"/>
      <c r="M15" s="31"/>
      <c r="N15" s="31"/>
      <c r="O15" s="31"/>
      <c r="P15" s="31"/>
      <c r="Q15" s="31"/>
      <c r="R15" s="31"/>
      <c r="S15" s="31"/>
      <c r="T15" s="31"/>
      <c r="U15" s="31"/>
      <c r="V15" s="31"/>
      <c r="W15" s="31"/>
    </row>
    <row r="16" spans="1:23" x14ac:dyDescent="0.35">
      <c r="A16" s="31"/>
      <c r="B16" s="31"/>
      <c r="C16" s="31"/>
      <c r="D16" s="31"/>
      <c r="E16" s="31"/>
      <c r="F16" s="31"/>
      <c r="G16" s="31"/>
      <c r="H16" s="31"/>
      <c r="I16" s="31"/>
      <c r="J16" s="31"/>
      <c r="K16" s="31"/>
      <c r="L16" s="31"/>
      <c r="M16" s="31"/>
      <c r="N16" s="31"/>
      <c r="O16" s="31"/>
      <c r="P16" s="31"/>
      <c r="Q16" s="31"/>
      <c r="R16" s="31"/>
      <c r="S16" s="31"/>
      <c r="T16" s="31"/>
      <c r="U16" s="31"/>
      <c r="V16" s="31"/>
      <c r="W16" s="31"/>
    </row>
    <row r="17" spans="1:23" x14ac:dyDescent="0.35">
      <c r="A17" s="31"/>
      <c r="B17" s="31"/>
      <c r="C17" s="31"/>
      <c r="D17" s="31"/>
      <c r="E17" s="31"/>
      <c r="F17" s="31"/>
      <c r="G17" s="31"/>
      <c r="H17" s="31"/>
      <c r="I17" s="31"/>
      <c r="J17" s="31"/>
      <c r="K17" s="31"/>
      <c r="L17" s="31"/>
      <c r="M17" s="31"/>
      <c r="N17" s="31"/>
      <c r="O17" s="31"/>
      <c r="P17" s="31"/>
      <c r="Q17" s="31"/>
      <c r="R17" s="31"/>
      <c r="S17" s="31"/>
      <c r="T17" s="31"/>
      <c r="U17" s="31"/>
      <c r="V17" s="31"/>
      <c r="W17" s="31"/>
    </row>
    <row r="18" spans="1:23" ht="17.45" customHeight="1" x14ac:dyDescent="0.35">
      <c r="A18" s="31"/>
      <c r="B18" s="31"/>
      <c r="C18" s="31"/>
      <c r="D18" s="31"/>
      <c r="E18" s="31"/>
      <c r="F18" s="31"/>
      <c r="G18" s="31"/>
      <c r="H18" s="31"/>
      <c r="I18" s="31"/>
      <c r="J18" s="31"/>
      <c r="K18" s="31"/>
      <c r="L18" s="31"/>
      <c r="M18" s="31"/>
      <c r="N18" s="31"/>
      <c r="O18" s="31"/>
      <c r="P18" s="31"/>
      <c r="Q18" s="31"/>
      <c r="R18" s="31"/>
      <c r="S18" s="31"/>
      <c r="T18" s="31"/>
      <c r="U18" s="31"/>
      <c r="V18" s="31"/>
      <c r="W18" s="31"/>
    </row>
    <row r="19" spans="1:23" x14ac:dyDescent="0.35">
      <c r="A19" s="31"/>
      <c r="B19" s="31"/>
      <c r="C19" s="31"/>
      <c r="D19" s="31"/>
      <c r="E19" s="31"/>
      <c r="F19" s="31"/>
      <c r="G19" s="31"/>
      <c r="H19" s="31"/>
      <c r="I19" s="31"/>
      <c r="J19" s="31"/>
      <c r="K19" s="31"/>
      <c r="L19" s="31"/>
      <c r="M19" s="31"/>
      <c r="N19" s="31"/>
      <c r="O19" s="31"/>
      <c r="P19" s="31"/>
      <c r="Q19" s="31"/>
      <c r="R19" s="31"/>
      <c r="S19" s="31"/>
      <c r="T19" s="31"/>
      <c r="U19" s="31"/>
      <c r="V19" s="31"/>
      <c r="W19" s="31"/>
    </row>
    <row r="20" spans="1:23" ht="15.6" customHeight="1" thickBot="1" x14ac:dyDescent="0.55000000000000004">
      <c r="A20" s="31"/>
      <c r="B20" s="31"/>
      <c r="C20" s="31"/>
      <c r="D20" s="31"/>
      <c r="E20" s="31"/>
      <c r="F20" s="31"/>
      <c r="G20" s="31"/>
      <c r="H20" s="31"/>
      <c r="I20" s="148" t="s">
        <v>11</v>
      </c>
      <c r="J20" s="32"/>
      <c r="K20" s="32"/>
      <c r="L20" s="32"/>
      <c r="M20" s="32"/>
      <c r="N20" s="32"/>
      <c r="O20" s="32"/>
      <c r="P20" s="32"/>
      <c r="Q20" s="31"/>
      <c r="R20" s="31"/>
      <c r="S20" s="31"/>
      <c r="T20" s="31"/>
      <c r="U20" s="31"/>
      <c r="V20" s="31"/>
      <c r="W20" s="31"/>
    </row>
    <row r="21" spans="1:23" ht="15.6" customHeight="1" thickTop="1" thickBot="1" x14ac:dyDescent="0.4">
      <c r="A21" s="31"/>
      <c r="B21" s="31"/>
      <c r="C21" s="31"/>
      <c r="D21" s="31"/>
      <c r="E21" s="31"/>
      <c r="F21" s="31"/>
      <c r="G21" s="31"/>
      <c r="H21" s="31"/>
      <c r="I21" s="33" t="s">
        <v>1</v>
      </c>
      <c r="J21" s="33" t="s">
        <v>10</v>
      </c>
      <c r="K21" s="33"/>
      <c r="L21" s="34">
        <v>1</v>
      </c>
      <c r="M21" s="34">
        <v>2</v>
      </c>
      <c r="N21" s="34">
        <v>3</v>
      </c>
      <c r="O21" s="34">
        <v>4</v>
      </c>
      <c r="P21" s="34">
        <v>5</v>
      </c>
      <c r="Q21" s="31"/>
      <c r="R21" s="31"/>
      <c r="S21" s="31"/>
      <c r="T21" s="31"/>
      <c r="U21" s="31"/>
      <c r="V21" s="31"/>
      <c r="W21" s="31"/>
    </row>
    <row r="22" spans="1:23" ht="15.6" customHeight="1" thickTop="1" x14ac:dyDescent="0.35">
      <c r="A22" s="31"/>
      <c r="B22" s="31"/>
      <c r="C22" s="31"/>
      <c r="D22" s="31"/>
      <c r="E22" s="31"/>
      <c r="F22" s="31"/>
      <c r="G22" s="31"/>
      <c r="H22" s="31"/>
      <c r="I22" s="35" t="str">
        <f>Tablas!X10</f>
        <v>Guadalajara</v>
      </c>
      <c r="J22" s="142">
        <v>4.5705408731122548</v>
      </c>
      <c r="K22" s="36"/>
      <c r="L22" s="132">
        <f>IF(L$21&lt;=$J22,1,IF(ROUNDUP($J22,0)=L$21,MOD($J22,1),0))</f>
        <v>1</v>
      </c>
      <c r="M22" s="132">
        <f t="shared" ref="M22:P30" si="0">IF(M$21&lt;=$J22,1,IF(ROUNDUP($J22,0)=M$21,MOD($J22,1),0))</f>
        <v>1</v>
      </c>
      <c r="N22" s="132">
        <f t="shared" si="0"/>
        <v>1</v>
      </c>
      <c r="O22" s="132">
        <f t="shared" si="0"/>
        <v>1</v>
      </c>
      <c r="P22" s="132">
        <f t="shared" si="0"/>
        <v>0.57054087311225476</v>
      </c>
      <c r="Q22" s="31"/>
      <c r="R22" s="31"/>
      <c r="S22" s="31"/>
      <c r="T22" s="31"/>
      <c r="U22" s="31"/>
      <c r="V22" s="31"/>
      <c r="W22" s="31"/>
    </row>
    <row r="23" spans="1:23" ht="15.6" customHeight="1" x14ac:dyDescent="0.35">
      <c r="A23" s="31"/>
      <c r="B23" s="31"/>
      <c r="C23" s="31"/>
      <c r="D23" s="31"/>
      <c r="E23" s="31"/>
      <c r="F23" s="31"/>
      <c r="G23" s="31"/>
      <c r="H23" s="31"/>
      <c r="I23" s="35" t="str">
        <f>Tablas!X8</f>
        <v>Monterrey</v>
      </c>
      <c r="J23" s="142">
        <v>4.4638342279245062</v>
      </c>
      <c r="K23" s="36"/>
      <c r="L23" s="132">
        <f t="shared" ref="L23:L30" si="1">IF(L$21&lt;=$J23,1,IF(ROUNDUP($J23,0)=L$21,MOD($J23,1),0))</f>
        <v>1</v>
      </c>
      <c r="M23" s="132">
        <f t="shared" si="0"/>
        <v>1</v>
      </c>
      <c r="N23" s="132">
        <f t="shared" si="0"/>
        <v>1</v>
      </c>
      <c r="O23" s="132">
        <f t="shared" si="0"/>
        <v>1</v>
      </c>
      <c r="P23" s="132">
        <f t="shared" si="0"/>
        <v>0.46383422792450624</v>
      </c>
      <c r="Q23" s="31"/>
      <c r="R23" s="31"/>
      <c r="S23" s="31"/>
      <c r="T23" s="31"/>
      <c r="U23" s="31"/>
      <c r="V23" s="31"/>
      <c r="W23" s="31"/>
    </row>
    <row r="24" spans="1:23" ht="15.6" customHeight="1" x14ac:dyDescent="0.35">
      <c r="A24" s="31"/>
      <c r="B24" s="31"/>
      <c r="C24" s="31"/>
      <c r="D24" s="31"/>
      <c r="E24" s="31"/>
      <c r="F24" s="31"/>
      <c r="G24" s="31"/>
      <c r="H24" s="31"/>
      <c r="I24" s="35" t="str">
        <f>Tablas!X6</f>
        <v>Mérida</v>
      </c>
      <c r="J24" s="142">
        <v>4.3294976000507166</v>
      </c>
      <c r="K24" s="36"/>
      <c r="L24" s="132">
        <f t="shared" si="1"/>
        <v>1</v>
      </c>
      <c r="M24" s="132">
        <f t="shared" si="0"/>
        <v>1</v>
      </c>
      <c r="N24" s="132">
        <f t="shared" si="0"/>
        <v>1</v>
      </c>
      <c r="O24" s="132">
        <f t="shared" si="0"/>
        <v>1</v>
      </c>
      <c r="P24" s="132">
        <f t="shared" si="0"/>
        <v>0.3294976000507166</v>
      </c>
      <c r="Q24" s="31"/>
      <c r="R24" s="31"/>
      <c r="S24" s="31"/>
      <c r="T24" s="31"/>
      <c r="U24" s="31"/>
      <c r="V24" s="31"/>
      <c r="W24" s="31"/>
    </row>
    <row r="25" spans="1:23" ht="15.6" customHeight="1" x14ac:dyDescent="0.35">
      <c r="A25" s="31"/>
      <c r="B25" s="31"/>
      <c r="C25" s="31"/>
      <c r="D25" s="31"/>
      <c r="E25" s="31"/>
      <c r="F25" s="31"/>
      <c r="G25" s="31"/>
      <c r="H25" s="31"/>
      <c r="I25" s="35" t="str">
        <f>Tablas!X7</f>
        <v>Coatzacoalcos</v>
      </c>
      <c r="J25" s="142">
        <v>4.2777712883985455</v>
      </c>
      <c r="K25" s="36"/>
      <c r="L25" s="132">
        <f t="shared" si="1"/>
        <v>1</v>
      </c>
      <c r="M25" s="132">
        <f t="shared" si="0"/>
        <v>1</v>
      </c>
      <c r="N25" s="132">
        <f t="shared" si="0"/>
        <v>1</v>
      </c>
      <c r="O25" s="132">
        <f t="shared" si="0"/>
        <v>1</v>
      </c>
      <c r="P25" s="132">
        <f t="shared" si="0"/>
        <v>0.27777128839854548</v>
      </c>
      <c r="Q25" s="31"/>
      <c r="R25" s="31"/>
      <c r="S25" s="31"/>
      <c r="T25" s="31"/>
      <c r="U25" s="31"/>
      <c r="V25" s="31"/>
      <c r="W25" s="31"/>
    </row>
    <row r="26" spans="1:23" ht="15.6" customHeight="1" x14ac:dyDescent="0.35">
      <c r="A26" s="31"/>
      <c r="B26" s="31"/>
      <c r="C26" s="31"/>
      <c r="D26" s="31"/>
      <c r="E26" s="31"/>
      <c r="F26" s="31"/>
      <c r="G26" s="31"/>
      <c r="H26" s="31"/>
      <c r="I26" s="35" t="str">
        <f>Tablas!X9</f>
        <v>Cancún</v>
      </c>
      <c r="J26" s="142">
        <v>3.8499971650792149</v>
      </c>
      <c r="K26" s="36"/>
      <c r="L26" s="132">
        <f t="shared" si="1"/>
        <v>1</v>
      </c>
      <c r="M26" s="132">
        <f t="shared" si="0"/>
        <v>1</v>
      </c>
      <c r="N26" s="132">
        <f t="shared" si="0"/>
        <v>1</v>
      </c>
      <c r="O26" s="132">
        <f t="shared" si="0"/>
        <v>0.84999716507921486</v>
      </c>
      <c r="P26" s="132">
        <f t="shared" si="0"/>
        <v>0</v>
      </c>
      <c r="Q26" s="31"/>
      <c r="R26" s="31"/>
      <c r="S26" s="31"/>
      <c r="T26" s="31"/>
      <c r="U26" s="31"/>
      <c r="V26" s="31"/>
      <c r="W26" s="31"/>
    </row>
    <row r="27" spans="1:23" ht="15.6" customHeight="1" x14ac:dyDescent="0.35">
      <c r="A27" s="31"/>
      <c r="B27" s="31"/>
      <c r="C27" s="31"/>
      <c r="D27" s="31"/>
      <c r="E27" s="31"/>
      <c r="F27" s="31"/>
      <c r="G27" s="31"/>
      <c r="H27" s="31"/>
      <c r="I27" s="35" t="str">
        <f>Tablas!X5</f>
        <v>Acapulco</v>
      </c>
      <c r="J27" s="142">
        <v>3.6617159174525669</v>
      </c>
      <c r="K27" s="36"/>
      <c r="L27" s="132">
        <f t="shared" si="1"/>
        <v>1</v>
      </c>
      <c r="M27" s="132">
        <f t="shared" si="0"/>
        <v>1</v>
      </c>
      <c r="N27" s="132">
        <f t="shared" si="0"/>
        <v>1</v>
      </c>
      <c r="O27" s="132">
        <f t="shared" si="0"/>
        <v>0.66171591745256686</v>
      </c>
      <c r="P27" s="132">
        <f t="shared" si="0"/>
        <v>0</v>
      </c>
      <c r="Q27" s="31"/>
      <c r="R27" s="31"/>
      <c r="S27" s="31"/>
      <c r="T27" s="31"/>
      <c r="U27" s="31"/>
      <c r="V27" s="31"/>
      <c r="W27" s="31"/>
    </row>
    <row r="28" spans="1:23" ht="15.6" customHeight="1" x14ac:dyDescent="0.35">
      <c r="A28" s="31"/>
      <c r="B28" s="31"/>
      <c r="C28" s="31"/>
      <c r="D28" s="31"/>
      <c r="E28" s="31"/>
      <c r="F28" s="31"/>
      <c r="G28" s="31"/>
      <c r="H28" s="31"/>
      <c r="I28" s="35" t="str">
        <f>Tablas!X4</f>
        <v>Campeche</v>
      </c>
      <c r="J28" s="142">
        <v>3.567992140964825</v>
      </c>
      <c r="K28" s="36"/>
      <c r="L28" s="132">
        <f t="shared" si="1"/>
        <v>1</v>
      </c>
      <c r="M28" s="132">
        <f t="shared" si="0"/>
        <v>1</v>
      </c>
      <c r="N28" s="132">
        <f t="shared" si="0"/>
        <v>1</v>
      </c>
      <c r="O28" s="132">
        <f t="shared" si="0"/>
        <v>0.56799214096482498</v>
      </c>
      <c r="P28" s="132">
        <f t="shared" si="0"/>
        <v>0</v>
      </c>
      <c r="Q28" s="31"/>
      <c r="R28" s="31"/>
      <c r="S28" s="31"/>
      <c r="T28" s="31"/>
      <c r="U28" s="31"/>
      <c r="V28" s="31"/>
      <c r="W28" s="31"/>
    </row>
    <row r="29" spans="1:23" ht="15.6" customHeight="1" x14ac:dyDescent="0.35">
      <c r="A29" s="31"/>
      <c r="B29" s="31"/>
      <c r="C29" s="31"/>
      <c r="D29" s="31"/>
      <c r="E29" s="31"/>
      <c r="F29" s="31"/>
      <c r="G29" s="31"/>
      <c r="H29" s="31"/>
      <c r="I29" s="35" t="str">
        <f>Tablas!X3</f>
        <v>Oaxaca</v>
      </c>
      <c r="J29" s="142">
        <v>2.2792732907256585</v>
      </c>
      <c r="K29" s="36"/>
      <c r="L29" s="132">
        <f t="shared" si="1"/>
        <v>1</v>
      </c>
      <c r="M29" s="132">
        <f t="shared" si="0"/>
        <v>1</v>
      </c>
      <c r="N29" s="132">
        <f t="shared" si="0"/>
        <v>0.27927329072565854</v>
      </c>
      <c r="O29" s="132">
        <f t="shared" si="0"/>
        <v>0</v>
      </c>
      <c r="P29" s="132">
        <f t="shared" si="0"/>
        <v>0</v>
      </c>
      <c r="Q29" s="31"/>
      <c r="R29" s="31"/>
      <c r="S29" s="31"/>
      <c r="T29" s="31"/>
      <c r="U29" s="31"/>
      <c r="V29" s="31"/>
      <c r="W29" s="31"/>
    </row>
    <row r="30" spans="1:23" ht="15.6" customHeight="1" x14ac:dyDescent="0.35">
      <c r="A30" s="31"/>
      <c r="B30" s="31"/>
      <c r="C30" s="31"/>
      <c r="D30" s="31"/>
      <c r="E30" s="31"/>
      <c r="F30" s="31"/>
      <c r="G30" s="31"/>
      <c r="H30" s="31"/>
      <c r="I30" s="35" t="str">
        <f>Tablas!X11</f>
        <v>CDMX</v>
      </c>
      <c r="J30" s="142">
        <v>0</v>
      </c>
      <c r="K30" s="36"/>
      <c r="L30" s="132">
        <f t="shared" si="1"/>
        <v>0</v>
      </c>
      <c r="M30" s="132">
        <f t="shared" si="0"/>
        <v>0</v>
      </c>
      <c r="N30" s="132">
        <f t="shared" si="0"/>
        <v>0</v>
      </c>
      <c r="O30" s="132">
        <f t="shared" si="0"/>
        <v>0</v>
      </c>
      <c r="P30" s="132">
        <f t="shared" si="0"/>
        <v>0</v>
      </c>
      <c r="Q30" s="31"/>
      <c r="R30" s="31"/>
      <c r="S30" s="31"/>
      <c r="T30" s="31"/>
      <c r="U30" s="31"/>
      <c r="V30" s="31"/>
      <c r="W30" s="31"/>
    </row>
    <row r="31" spans="1:23" x14ac:dyDescent="0.35">
      <c r="A31" s="31"/>
      <c r="B31" s="31"/>
      <c r="C31" s="31"/>
      <c r="D31" s="31"/>
      <c r="E31" s="31"/>
      <c r="F31" s="31"/>
      <c r="G31" s="31"/>
      <c r="H31" s="31"/>
      <c r="Q31" s="31"/>
      <c r="R31" s="31"/>
      <c r="S31" s="31"/>
      <c r="T31" s="31"/>
      <c r="U31" s="31"/>
      <c r="V31" s="31"/>
      <c r="W31" s="31"/>
    </row>
    <row r="32" spans="1:23" x14ac:dyDescent="0.35">
      <c r="A32" s="31"/>
      <c r="B32" s="31"/>
      <c r="C32" s="31"/>
      <c r="D32" s="31"/>
      <c r="E32" s="31"/>
      <c r="F32" s="31"/>
      <c r="G32" s="31"/>
      <c r="H32" s="31"/>
      <c r="Q32" s="31"/>
      <c r="R32" s="31"/>
      <c r="S32" s="31"/>
      <c r="T32" s="31"/>
      <c r="U32" s="31"/>
      <c r="V32" s="31"/>
      <c r="W32" s="31"/>
    </row>
    <row r="33" spans="1:23" x14ac:dyDescent="0.35">
      <c r="A33" s="31"/>
      <c r="B33" s="31"/>
      <c r="C33" s="31"/>
      <c r="D33" s="31"/>
      <c r="E33" s="31"/>
      <c r="F33" s="31"/>
      <c r="G33" s="31"/>
      <c r="H33" s="31"/>
      <c r="Q33" s="31"/>
      <c r="R33" s="31"/>
      <c r="S33" s="31"/>
      <c r="T33" s="31"/>
      <c r="U33" s="31"/>
      <c r="V33" s="31"/>
      <c r="W33" s="31"/>
    </row>
    <row r="34" spans="1:23" x14ac:dyDescent="0.35">
      <c r="A34" s="31"/>
      <c r="B34" s="31"/>
      <c r="C34" s="31"/>
      <c r="D34" s="31"/>
      <c r="E34" s="31"/>
      <c r="F34" s="31"/>
      <c r="G34" s="31"/>
      <c r="H34" s="31"/>
      <c r="I34" s="31"/>
      <c r="J34" s="31"/>
      <c r="K34" s="31"/>
      <c r="L34" s="31"/>
      <c r="M34" s="31"/>
      <c r="N34" s="31"/>
      <c r="O34" s="31"/>
      <c r="P34" s="31"/>
      <c r="Q34" s="31"/>
      <c r="R34" s="31"/>
      <c r="S34" s="31"/>
      <c r="T34" s="31"/>
      <c r="U34" s="31"/>
      <c r="V34" s="31"/>
      <c r="W34" s="31"/>
    </row>
  </sheetData>
  <sortState xmlns:xlrd2="http://schemas.microsoft.com/office/spreadsheetml/2017/richdata2" ref="I22:P29">
    <sortCondition descending="1" ref="J22:J29"/>
  </sortState>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3" id="{B438DA3A-CBAD-4A3B-BA1C-06E97CC0BB61}">
            <x14:iconSet iconSet="3Stars" showValue="0">
              <x14:cfvo type="percent">
                <xm:f>0</xm:f>
              </x14:cfvo>
              <x14:cfvo type="num">
                <xm:f>0.5</xm:f>
              </x14:cfvo>
              <x14:cfvo type="num">
                <xm:f>1</xm:f>
              </x14:cfvo>
            </x14:iconSet>
          </x14:cfRule>
          <xm:sqref>L22:P22 L24:P30 L23 N23:P23</xm:sqref>
        </x14:conditionalFormatting>
        <x14:conditionalFormatting xmlns:xm="http://schemas.microsoft.com/office/excel/2006/main">
          <x14:cfRule type="iconSet" priority="1" id="{DFC7E36A-81A8-43D3-A174-3D7945333526}">
            <x14:iconSet iconSet="3Stars" showValue="0">
              <x14:cfvo type="percent">
                <xm:f>0</xm:f>
              </x14:cfvo>
              <x14:cfvo type="num">
                <xm:f>0.5</xm:f>
              </x14:cfvo>
              <x14:cfvo type="num">
                <xm:f>1</xm:f>
              </x14:cfvo>
            </x14:iconSet>
          </x14:cfRule>
          <xm:sqref>L22:P30</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22C4-7496-434C-BA7B-6DC1DCE74925}">
  <sheetPr codeName="Hoja2"/>
  <dimension ref="A1:AM62"/>
  <sheetViews>
    <sheetView zoomScaleNormal="100" workbookViewId="0"/>
  </sheetViews>
  <sheetFormatPr baseColWidth="10" defaultRowHeight="17.25" x14ac:dyDescent="0.35"/>
  <cols>
    <col min="1" max="1" width="19" bestFit="1" customWidth="1"/>
    <col min="2" max="2" width="14.75" customWidth="1"/>
    <col min="3" max="3" width="13.75" customWidth="1"/>
    <col min="4" max="5" width="14.75" customWidth="1"/>
    <col min="6" max="6" width="6.375" customWidth="1"/>
    <col min="7" max="8" width="4.5" customWidth="1"/>
    <col min="9" max="9" width="4.75" customWidth="1"/>
    <col min="10" max="10" width="5.125" customWidth="1"/>
    <col min="11" max="11" width="6.375" customWidth="1"/>
    <col min="12" max="12" width="12.625" customWidth="1"/>
    <col min="13" max="13" width="2" customWidth="1"/>
    <col min="14" max="14" width="2.875" customWidth="1"/>
    <col min="15" max="15" width="16.5" customWidth="1"/>
    <col min="16" max="16" width="18.5" customWidth="1"/>
    <col min="17" max="17" width="18.25" customWidth="1"/>
    <col min="18" max="18" width="3.75" customWidth="1"/>
    <col min="19" max="19" width="12" customWidth="1"/>
    <col min="20" max="20" width="16.25" bestFit="1" customWidth="1"/>
    <col min="21" max="28" width="9.625" bestFit="1" customWidth="1"/>
    <col min="29" max="29" width="10.75" bestFit="1" customWidth="1"/>
    <col min="30" max="30" width="9.625" bestFit="1" customWidth="1"/>
    <col min="31" max="31" width="10.5" bestFit="1" customWidth="1"/>
    <col min="32" max="37" width="9.625" bestFit="1" customWidth="1"/>
    <col min="38" max="42" width="12" customWidth="1"/>
    <col min="43" max="43" width="4.375" customWidth="1"/>
    <col min="44" max="44" width="4.75" bestFit="1" customWidth="1"/>
    <col min="45" max="50" width="12" bestFit="1" customWidth="1"/>
    <col min="51" max="51" width="8" bestFit="1" customWidth="1"/>
    <col min="52" max="52" width="11" bestFit="1" customWidth="1"/>
    <col min="53" max="54" width="12" bestFit="1" customWidth="1"/>
    <col min="55" max="55" width="6" bestFit="1" customWidth="1"/>
    <col min="56" max="56" width="11" bestFit="1" customWidth="1"/>
    <col min="57" max="57" width="8" bestFit="1" customWidth="1"/>
    <col min="58" max="58" width="11" bestFit="1" customWidth="1"/>
    <col min="59" max="60" width="12" bestFit="1" customWidth="1"/>
    <col min="61" max="62" width="11" bestFit="1" customWidth="1"/>
    <col min="63" max="64" width="12" bestFit="1" customWidth="1"/>
    <col min="65" max="67" width="11" bestFit="1" customWidth="1"/>
    <col min="68" max="70" width="12" bestFit="1" customWidth="1"/>
    <col min="71" max="71" width="4.375" bestFit="1" customWidth="1"/>
    <col min="72" max="72" width="4.75" bestFit="1" customWidth="1"/>
    <col min="73" max="76" width="12" bestFit="1" customWidth="1"/>
  </cols>
  <sheetData>
    <row r="1" spans="1:39" ht="18" thickBot="1" x14ac:dyDescent="0.4">
      <c r="A1" s="65"/>
      <c r="B1" s="65"/>
      <c r="C1" s="65"/>
      <c r="D1" s="66"/>
      <c r="E1" s="66"/>
      <c r="F1" s="66"/>
      <c r="G1" s="66"/>
      <c r="H1" s="66"/>
      <c r="I1" s="66"/>
      <c r="J1" s="66"/>
      <c r="K1" s="66"/>
      <c r="L1" s="66"/>
      <c r="M1" s="66"/>
      <c r="N1" s="67"/>
      <c r="O1" s="68" t="s">
        <v>46</v>
      </c>
      <c r="P1" s="69"/>
      <c r="Q1" s="70"/>
      <c r="R1" s="70"/>
      <c r="S1" s="68" t="s">
        <v>70</v>
      </c>
      <c r="T1" s="70" t="s">
        <v>69</v>
      </c>
      <c r="U1" s="70" t="s">
        <v>0</v>
      </c>
      <c r="V1" s="71" t="s">
        <v>57</v>
      </c>
      <c r="W1" s="66"/>
      <c r="X1" s="72" t="s">
        <v>73</v>
      </c>
      <c r="Y1" s="73"/>
      <c r="Z1" s="66"/>
      <c r="AA1" s="66"/>
      <c r="AB1" s="66"/>
      <c r="AC1" s="66"/>
      <c r="AD1" s="66"/>
      <c r="AE1" s="66"/>
      <c r="AF1" s="66"/>
      <c r="AG1" s="66"/>
      <c r="AH1" s="66"/>
      <c r="AI1" s="66"/>
      <c r="AJ1" s="66"/>
      <c r="AK1" s="66"/>
      <c r="AL1" s="66"/>
      <c r="AM1" s="66"/>
    </row>
    <row r="2" spans="1:39" ht="18" thickBot="1" x14ac:dyDescent="0.4">
      <c r="A2" s="13" t="s">
        <v>44</v>
      </c>
      <c r="B2" s="14" t="str">
        <f>IF(C8&lt;&gt;"","Otro",L8)</f>
        <v>Otro</v>
      </c>
      <c r="C2" s="15">
        <f>VLOOKUP(B2,$A$49:$B$58,2,0)</f>
        <v>60839660.285132766</v>
      </c>
      <c r="D2" s="66"/>
      <c r="E2" s="66"/>
      <c r="F2" s="66"/>
      <c r="G2" s="66"/>
      <c r="H2" s="66"/>
      <c r="I2" s="66"/>
      <c r="J2" s="66"/>
      <c r="K2" s="66"/>
      <c r="L2" s="66"/>
      <c r="M2" s="66"/>
      <c r="N2" s="67"/>
      <c r="O2" s="74" t="s">
        <v>7</v>
      </c>
      <c r="P2" s="75">
        <f>IFERROR(100%-P15*100%/Q15,"- %")</f>
        <v>-0.39774142989186534</v>
      </c>
      <c r="Q2" s="66"/>
      <c r="R2" s="66"/>
      <c r="S2" s="76" t="str">
        <f t="shared" ref="S2:S9" si="0">IFERROR(VLOOKUP(O2,$O$13:$P$22,1,0),"")</f>
        <v>CDMX</v>
      </c>
      <c r="T2" s="66" t="e" vm="1">
        <f t="shared" ref="T2:T9" si="1">IFERROR(VLOOKUP(S2,$S$15:$T$24,2,0),"")</f>
        <v>#VALUE!</v>
      </c>
      <c r="U2" s="77" t="str">
        <f>IFERROR(VLOOKUP(S2,$O$13:$P$13,2,0),"")</f>
        <v/>
      </c>
      <c r="V2" s="78">
        <f>P2</f>
        <v>-0.39774142989186534</v>
      </c>
      <c r="W2" s="66"/>
      <c r="X2" s="79" t="s">
        <v>1</v>
      </c>
      <c r="Y2" s="80" t="s">
        <v>10</v>
      </c>
      <c r="Z2" s="66"/>
      <c r="AA2" s="66"/>
      <c r="AB2" s="66"/>
      <c r="AC2" s="66"/>
      <c r="AD2" s="66"/>
      <c r="AE2" s="66"/>
      <c r="AF2" s="66"/>
      <c r="AG2" s="66"/>
      <c r="AH2" s="66"/>
      <c r="AI2" s="66"/>
      <c r="AJ2" s="66"/>
      <c r="AK2" s="66"/>
      <c r="AL2" s="66"/>
      <c r="AM2" s="66"/>
    </row>
    <row r="3" spans="1:39" ht="18" thickBot="1" x14ac:dyDescent="0.4">
      <c r="A3" s="16" t="s">
        <v>45</v>
      </c>
      <c r="B3" s="17" t="str">
        <f>IF(C8&lt;&gt;"","Otro",L8)</f>
        <v>Otro</v>
      </c>
      <c r="C3" s="18">
        <f>VLOOKUP(B3,$A$36:$B$45,2,0)</f>
        <v>0.22017079971761822</v>
      </c>
      <c r="D3" s="66"/>
      <c r="E3" s="66"/>
      <c r="F3" s="66"/>
      <c r="G3" s="66"/>
      <c r="H3" s="66"/>
      <c r="I3" s="66"/>
      <c r="J3" s="66"/>
      <c r="K3" s="66"/>
      <c r="L3" s="66"/>
      <c r="M3" s="66"/>
      <c r="N3" s="67"/>
      <c r="O3" s="81" t="s">
        <v>48</v>
      </c>
      <c r="P3" s="82">
        <f t="shared" ref="P3:P11" si="2">IFERROR(100%-P16*100%/Q16,"- %")</f>
        <v>0.28429493780681325</v>
      </c>
      <c r="Q3" s="66"/>
      <c r="R3" s="66"/>
      <c r="S3" s="76" t="str">
        <f t="shared" si="0"/>
        <v>CAM</v>
      </c>
      <c r="T3" s="66" t="e" vm="2">
        <f t="shared" si="1"/>
        <v>#VALUE!</v>
      </c>
      <c r="U3" s="77" t="str">
        <f t="shared" ref="U3:U11" si="3">IFERROR(VLOOKUP(S3,$O$13:$P$13,2,0),"")</f>
        <v/>
      </c>
      <c r="V3" s="78">
        <f t="shared" ref="V3:V11" si="4">P3</f>
        <v>0.28429493780681325</v>
      </c>
      <c r="W3" s="66"/>
      <c r="X3" s="76" t="s">
        <v>6</v>
      </c>
      <c r="Y3" s="83">
        <v>50</v>
      </c>
      <c r="Z3" s="66"/>
      <c r="AA3" s="66"/>
      <c r="AB3" s="66"/>
      <c r="AC3" s="66"/>
      <c r="AD3" s="66"/>
      <c r="AE3" s="66"/>
      <c r="AF3" s="66"/>
      <c r="AG3" s="66"/>
      <c r="AH3" s="66"/>
      <c r="AI3" s="66"/>
      <c r="AJ3" s="66"/>
      <c r="AK3" s="66"/>
      <c r="AL3" s="66"/>
      <c r="AM3" s="66"/>
    </row>
    <row r="4" spans="1:39" x14ac:dyDescent="0.35">
      <c r="A4" s="66"/>
      <c r="B4" s="66"/>
      <c r="C4" s="66"/>
      <c r="D4" s="66"/>
      <c r="E4" s="66"/>
      <c r="F4" s="66"/>
      <c r="G4" s="66"/>
      <c r="H4" s="66"/>
      <c r="I4" s="66"/>
      <c r="J4" s="66"/>
      <c r="K4" s="66"/>
      <c r="L4" s="66"/>
      <c r="M4" s="66"/>
      <c r="N4" s="67"/>
      <c r="O4" s="81" t="s">
        <v>49</v>
      </c>
      <c r="P4" s="82">
        <f t="shared" si="2"/>
        <v>9.0708181723377357E-2</v>
      </c>
      <c r="Q4" s="66"/>
      <c r="R4" s="66"/>
      <c r="S4" s="76" t="str">
        <f t="shared" si="0"/>
        <v>ACA</v>
      </c>
      <c r="T4" s="66" t="e" vm="3">
        <f t="shared" si="1"/>
        <v>#VALUE!</v>
      </c>
      <c r="U4" s="77" t="str">
        <f t="shared" si="3"/>
        <v/>
      </c>
      <c r="V4" s="78">
        <f t="shared" si="4"/>
        <v>9.0708181723377357E-2</v>
      </c>
      <c r="W4" s="66"/>
      <c r="X4" s="76" t="s">
        <v>5</v>
      </c>
      <c r="Y4" s="83">
        <v>30</v>
      </c>
      <c r="Z4" s="66"/>
      <c r="AA4" s="66"/>
      <c r="AB4" s="66"/>
      <c r="AC4" s="66"/>
      <c r="AD4" s="66"/>
      <c r="AE4" s="66"/>
      <c r="AF4" s="66"/>
      <c r="AG4" s="66"/>
      <c r="AH4" s="66"/>
      <c r="AI4" s="66"/>
      <c r="AJ4" s="66"/>
      <c r="AK4" s="66"/>
      <c r="AL4" s="66"/>
      <c r="AM4" s="66"/>
    </row>
    <row r="5" spans="1:39" x14ac:dyDescent="0.35">
      <c r="A5" s="66"/>
      <c r="B5" s="66"/>
      <c r="C5" s="84"/>
      <c r="D5" s="66"/>
      <c r="E5" s="66"/>
      <c r="F5" s="66"/>
      <c r="G5" s="66"/>
      <c r="H5" s="66"/>
      <c r="I5" s="66"/>
      <c r="J5" s="66"/>
      <c r="K5" s="66"/>
      <c r="L5" s="66"/>
      <c r="M5" s="66"/>
      <c r="N5" s="67"/>
      <c r="O5" s="81" t="s">
        <v>53</v>
      </c>
      <c r="P5" s="82">
        <f t="shared" si="2"/>
        <v>0.40025046704609557</v>
      </c>
      <c r="Q5" s="66"/>
      <c r="R5" s="66"/>
      <c r="S5" s="76" t="str">
        <f t="shared" si="0"/>
        <v>GDL</v>
      </c>
      <c r="T5" s="66" t="e" vm="4">
        <f t="shared" si="1"/>
        <v>#VALUE!</v>
      </c>
      <c r="U5" s="77" t="str">
        <f t="shared" si="3"/>
        <v/>
      </c>
      <c r="V5" s="78">
        <f t="shared" si="4"/>
        <v>0.40025046704609557</v>
      </c>
      <c r="W5" s="66"/>
      <c r="X5" s="76" t="s">
        <v>59</v>
      </c>
      <c r="Y5" s="83">
        <v>10</v>
      </c>
      <c r="Z5" s="66"/>
      <c r="AA5" s="66"/>
      <c r="AB5" s="66"/>
      <c r="AC5" s="66"/>
      <c r="AD5" s="66"/>
      <c r="AE5" s="66"/>
      <c r="AF5" s="66"/>
      <c r="AG5" s="66"/>
      <c r="AH5" s="66"/>
      <c r="AI5" s="66"/>
      <c r="AJ5" s="66"/>
      <c r="AK5" s="66"/>
      <c r="AL5" s="66"/>
      <c r="AM5" s="66"/>
    </row>
    <row r="6" spans="1:39" x14ac:dyDescent="0.35">
      <c r="A6" s="66"/>
      <c r="B6" s="66"/>
      <c r="C6" s="66"/>
      <c r="D6" s="66"/>
      <c r="E6" s="66"/>
      <c r="F6" s="66"/>
      <c r="G6" s="66"/>
      <c r="H6" s="66"/>
      <c r="I6" s="66"/>
      <c r="J6" s="66"/>
      <c r="K6" s="85"/>
      <c r="L6" s="85"/>
      <c r="M6" s="85"/>
      <c r="N6" s="67"/>
      <c r="O6" s="81" t="s">
        <v>51</v>
      </c>
      <c r="P6" s="82">
        <f t="shared" si="2"/>
        <v>0.2033689743510757</v>
      </c>
      <c r="Q6" s="66"/>
      <c r="R6" s="66"/>
      <c r="S6" s="76" t="str">
        <f t="shared" si="0"/>
        <v>MTY</v>
      </c>
      <c r="T6" s="66" t="e" vm="5">
        <f t="shared" si="1"/>
        <v>#VALUE!</v>
      </c>
      <c r="U6" s="77" t="str">
        <f t="shared" si="3"/>
        <v/>
      </c>
      <c r="V6" s="78">
        <f t="shared" si="4"/>
        <v>0.2033689743510757</v>
      </c>
      <c r="W6" s="66"/>
      <c r="X6" s="76" t="s">
        <v>60</v>
      </c>
      <c r="Y6" s="83">
        <v>15</v>
      </c>
      <c r="Z6" s="66"/>
      <c r="AA6" s="66"/>
      <c r="AB6" s="66"/>
      <c r="AC6" s="66"/>
      <c r="AD6" s="66"/>
      <c r="AE6" s="66"/>
      <c r="AF6" s="66"/>
      <c r="AG6" s="66"/>
      <c r="AH6" s="66"/>
      <c r="AI6" s="66"/>
      <c r="AJ6" s="66"/>
      <c r="AK6" s="66"/>
      <c r="AL6" s="66"/>
      <c r="AM6" s="66"/>
    </row>
    <row r="7" spans="1:39" ht="18" thickBot="1" x14ac:dyDescent="0.4">
      <c r="A7" s="86" t="s">
        <v>42</v>
      </c>
      <c r="B7" s="86" t="s">
        <v>47</v>
      </c>
      <c r="C7" s="66"/>
      <c r="D7" s="66"/>
      <c r="E7" s="66"/>
      <c r="F7" s="66"/>
      <c r="G7" s="66"/>
      <c r="H7" s="66"/>
      <c r="I7" s="66"/>
      <c r="J7" s="66"/>
      <c r="K7" s="66"/>
      <c r="L7" s="66"/>
      <c r="M7" s="66"/>
      <c r="N7" s="67"/>
      <c r="O7" s="81" t="s">
        <v>31</v>
      </c>
      <c r="P7" s="82">
        <f t="shared" si="2"/>
        <v>-0.12639978447406697</v>
      </c>
      <c r="Q7" s="66"/>
      <c r="R7" s="66"/>
      <c r="S7" s="76" t="str">
        <f t="shared" si="0"/>
        <v>OAX</v>
      </c>
      <c r="T7" s="66" t="e" vm="6">
        <f t="shared" si="1"/>
        <v>#VALUE!</v>
      </c>
      <c r="U7" s="77" t="str">
        <f t="shared" si="3"/>
        <v/>
      </c>
      <c r="V7" s="78">
        <f t="shared" si="4"/>
        <v>-0.12639978447406697</v>
      </c>
      <c r="W7" s="66"/>
      <c r="X7" s="76" t="s">
        <v>61</v>
      </c>
      <c r="Y7" s="83">
        <v>35</v>
      </c>
      <c r="Z7" s="66"/>
      <c r="AA7" s="66"/>
      <c r="AB7" s="66"/>
      <c r="AC7" s="66"/>
      <c r="AD7" s="66"/>
      <c r="AE7" s="66"/>
      <c r="AF7" s="66"/>
      <c r="AG7" s="66"/>
      <c r="AH7" s="66"/>
      <c r="AI7" s="66"/>
      <c r="AJ7" s="66"/>
      <c r="AK7" s="66"/>
      <c r="AL7" s="66"/>
      <c r="AM7" s="66"/>
    </row>
    <row r="8" spans="1:39" ht="18" thickBot="1" x14ac:dyDescent="0.4">
      <c r="A8" s="86" t="s">
        <v>2</v>
      </c>
      <c r="B8" s="147" t="s">
        <v>49</v>
      </c>
      <c r="C8" s="66" t="s">
        <v>48</v>
      </c>
      <c r="D8" s="66" t="s">
        <v>52</v>
      </c>
      <c r="E8" s="66" t="s">
        <v>7</v>
      </c>
      <c r="F8" s="66" t="s">
        <v>53</v>
      </c>
      <c r="G8" s="66" t="s">
        <v>50</v>
      </c>
      <c r="H8" s="66" t="s">
        <v>51</v>
      </c>
      <c r="I8" s="66" t="s">
        <v>31</v>
      </c>
      <c r="J8" s="66" t="s">
        <v>55</v>
      </c>
      <c r="K8" s="66" t="s">
        <v>78</v>
      </c>
      <c r="L8" s="87" t="str">
        <f>IF(C8&lt;&gt;"",K8,B8)</f>
        <v>Otro</v>
      </c>
      <c r="M8" s="66"/>
      <c r="N8" s="67"/>
      <c r="O8" s="81" t="s">
        <v>52</v>
      </c>
      <c r="P8" s="82">
        <f t="shared" si="2"/>
        <v>-0.58678481646995251</v>
      </c>
      <c r="Q8" s="66"/>
      <c r="R8" s="66"/>
      <c r="S8" s="76" t="str">
        <f t="shared" si="0"/>
        <v>CUN</v>
      </c>
      <c r="T8" s="66" t="e" vm="7">
        <f t="shared" si="1"/>
        <v>#VALUE!</v>
      </c>
      <c r="U8" s="77" t="str">
        <f t="shared" si="3"/>
        <v/>
      </c>
      <c r="V8" s="78">
        <f t="shared" si="4"/>
        <v>-0.58678481646995251</v>
      </c>
      <c r="W8" s="66"/>
      <c r="X8" s="76" t="s">
        <v>62</v>
      </c>
      <c r="Y8" s="83">
        <v>65</v>
      </c>
      <c r="Z8" s="66"/>
      <c r="AA8" s="66"/>
      <c r="AB8" s="66"/>
      <c r="AC8" s="66"/>
      <c r="AD8" s="66"/>
      <c r="AE8" s="66"/>
      <c r="AF8" s="66"/>
      <c r="AG8" s="66"/>
      <c r="AH8" s="66"/>
      <c r="AI8" s="66"/>
      <c r="AJ8" s="66"/>
      <c r="AK8" s="66"/>
      <c r="AL8" s="66"/>
      <c r="AM8" s="66"/>
    </row>
    <row r="9" spans="1:39" x14ac:dyDescent="0.35">
      <c r="A9" s="88" t="s">
        <v>12</v>
      </c>
      <c r="B9" s="89">
        <v>0.36</v>
      </c>
      <c r="C9" s="89">
        <v>0.24</v>
      </c>
      <c r="D9" s="89">
        <v>0.42</v>
      </c>
      <c r="E9" s="89">
        <v>0.62752924774712138</v>
      </c>
      <c r="F9" s="89">
        <v>0.48</v>
      </c>
      <c r="G9" s="89">
        <v>0.61</v>
      </c>
      <c r="H9" s="89">
        <v>0.43</v>
      </c>
      <c r="I9" s="89">
        <v>0.50574517406085528</v>
      </c>
      <c r="J9" s="89">
        <v>0.57999999999999996</v>
      </c>
      <c r="K9" s="89">
        <v>0.64101215348421858</v>
      </c>
      <c r="L9" s="84">
        <f t="shared" ref="L9:L12" si="5">IF(C9&lt;&gt;"",K9,B9)</f>
        <v>0.64101215348421858</v>
      </c>
      <c r="M9" s="66"/>
      <c r="N9" s="67"/>
      <c r="O9" s="81" t="s">
        <v>55</v>
      </c>
      <c r="P9" s="82">
        <f t="shared" si="2"/>
        <v>4.2422897532935377E-2</v>
      </c>
      <c r="Q9" s="66"/>
      <c r="R9" s="66"/>
      <c r="S9" s="76" t="str">
        <f t="shared" si="0"/>
        <v>Qtza</v>
      </c>
      <c r="T9" s="66" t="e" vm="8">
        <f t="shared" si="1"/>
        <v>#VALUE!</v>
      </c>
      <c r="U9" s="77" t="str">
        <f t="shared" si="3"/>
        <v/>
      </c>
      <c r="V9" s="78">
        <f t="shared" si="4"/>
        <v>4.2422897532935377E-2</v>
      </c>
      <c r="W9" s="66"/>
      <c r="X9" s="76" t="s">
        <v>63</v>
      </c>
      <c r="Y9" s="83">
        <v>84</v>
      </c>
      <c r="Z9" s="66"/>
      <c r="AA9" s="66"/>
      <c r="AB9" s="66"/>
      <c r="AC9" s="66"/>
      <c r="AD9" s="66"/>
      <c r="AE9" s="66"/>
      <c r="AF9" s="66"/>
      <c r="AG9" s="66"/>
      <c r="AH9" s="66"/>
      <c r="AI9" s="66"/>
      <c r="AJ9" s="66"/>
      <c r="AK9" s="66"/>
      <c r="AL9" s="66"/>
      <c r="AM9" s="66"/>
    </row>
    <row r="10" spans="1:39" x14ac:dyDescent="0.35">
      <c r="A10" s="88" t="s">
        <v>13</v>
      </c>
      <c r="B10" s="89">
        <v>0.38877758061342332</v>
      </c>
      <c r="C10" s="89">
        <v>0.15124160789461719</v>
      </c>
      <c r="D10" s="89">
        <v>0.32010011168083741</v>
      </c>
      <c r="E10" s="89">
        <v>6.4273559040833345E-2</v>
      </c>
      <c r="F10" s="89">
        <v>0.58381908833820206</v>
      </c>
      <c r="G10" s="89">
        <v>0.61948938962650091</v>
      </c>
      <c r="H10" s="89">
        <v>0.34074443063073639</v>
      </c>
      <c r="I10" s="89">
        <v>-0.39642799898878722</v>
      </c>
      <c r="J10" s="89">
        <v>0.43100858587739566</v>
      </c>
      <c r="K10" s="89">
        <v>-0.11503682783524584</v>
      </c>
      <c r="L10" s="84">
        <f t="shared" si="5"/>
        <v>-0.11503682783524584</v>
      </c>
      <c r="M10" s="66"/>
      <c r="N10" s="67"/>
      <c r="O10" s="81" t="s">
        <v>50</v>
      </c>
      <c r="P10" s="90">
        <f t="shared" si="2"/>
        <v>0.22363589052766752</v>
      </c>
      <c r="Q10" s="66"/>
      <c r="R10" s="66"/>
      <c r="S10" s="81" t="s">
        <v>50</v>
      </c>
      <c r="T10" s="66" t="s">
        <v>60</v>
      </c>
      <c r="U10" s="77" t="str">
        <f t="shared" si="3"/>
        <v/>
      </c>
      <c r="V10" s="90">
        <f t="shared" si="4"/>
        <v>0.22363589052766752</v>
      </c>
      <c r="W10" s="66"/>
      <c r="X10" s="76" t="s">
        <v>64</v>
      </c>
      <c r="Y10" s="83">
        <v>85</v>
      </c>
      <c r="Z10" s="66"/>
      <c r="AA10" s="66"/>
      <c r="AB10" s="66"/>
      <c r="AC10" s="66"/>
      <c r="AD10" s="66"/>
      <c r="AE10" s="66"/>
      <c r="AF10" s="66"/>
      <c r="AG10" s="66"/>
      <c r="AH10" s="66"/>
      <c r="AI10" s="66"/>
      <c r="AJ10" s="66"/>
      <c r="AK10" s="66"/>
      <c r="AL10" s="66"/>
      <c r="AM10" s="66"/>
    </row>
    <row r="11" spans="1:39" ht="18" thickBot="1" x14ac:dyDescent="0.4">
      <c r="A11" s="88" t="s">
        <v>14</v>
      </c>
      <c r="B11" s="89">
        <v>0.35011666147689613</v>
      </c>
      <c r="C11" s="89">
        <v>5.7439817923060167E-2</v>
      </c>
      <c r="D11" s="89">
        <v>0.11381324756050143</v>
      </c>
      <c r="E11" s="89">
        <v>7.7649529627217176E-2</v>
      </c>
      <c r="F11" s="89">
        <v>0.17617375530760587</v>
      </c>
      <c r="G11" s="89">
        <v>0.40944863117563735</v>
      </c>
      <c r="H11" s="89">
        <v>0.30646411214174568</v>
      </c>
      <c r="I11" s="89">
        <v>-0.35674667519043596</v>
      </c>
      <c r="J11" s="89">
        <v>0.38385351142596386</v>
      </c>
      <c r="K11" s="89">
        <v>-0.26226020975754255</v>
      </c>
      <c r="L11" s="84">
        <f t="shared" si="5"/>
        <v>-0.26226020975754255</v>
      </c>
      <c r="M11" s="66"/>
      <c r="N11" s="67"/>
      <c r="O11" s="91" t="s">
        <v>78</v>
      </c>
      <c r="P11" s="92">
        <f t="shared" si="2"/>
        <v>-0.17787614385870665</v>
      </c>
      <c r="Q11" s="66"/>
      <c r="R11" s="66"/>
      <c r="S11" s="93" t="s">
        <v>78</v>
      </c>
      <c r="T11" s="94" t="s">
        <v>58</v>
      </c>
      <c r="U11" s="95">
        <f t="shared" si="3"/>
        <v>-0.17787614385870665</v>
      </c>
      <c r="V11" s="96">
        <f t="shared" si="4"/>
        <v>-0.17787614385870665</v>
      </c>
      <c r="W11" s="66"/>
      <c r="X11" s="93" t="s">
        <v>7</v>
      </c>
      <c r="Y11" s="97">
        <v>90</v>
      </c>
      <c r="Z11" s="66"/>
      <c r="AA11" s="66"/>
      <c r="AB11" s="66"/>
      <c r="AC11" s="66"/>
      <c r="AD11" s="66"/>
      <c r="AE11" s="66"/>
      <c r="AF11" s="66"/>
      <c r="AG11" s="66"/>
      <c r="AH11" s="66"/>
      <c r="AI11" s="66"/>
      <c r="AJ11" s="66"/>
      <c r="AK11" s="66"/>
      <c r="AL11" s="66"/>
      <c r="AM11" s="66"/>
    </row>
    <row r="12" spans="1:39" x14ac:dyDescent="0.35">
      <c r="A12" s="88" t="s">
        <v>15</v>
      </c>
      <c r="B12" s="89">
        <v>0.33977458575414593</v>
      </c>
      <c r="C12" s="89">
        <v>0.51082035788111613</v>
      </c>
      <c r="D12" s="89">
        <v>-8.8074018465169782E-2</v>
      </c>
      <c r="E12" s="89">
        <v>-0.44824224941411783</v>
      </c>
      <c r="F12" s="89">
        <v>0.20249034858010248</v>
      </c>
      <c r="G12" s="89">
        <v>0.40413147065267563</v>
      </c>
      <c r="H12" s="89">
        <v>0.38769938771245077</v>
      </c>
      <c r="I12" s="89">
        <v>-0.12373109646048884</v>
      </c>
      <c r="J12" s="89">
        <v>0.13350061648473494</v>
      </c>
      <c r="K12" s="89">
        <v>-0.36375547852508716</v>
      </c>
      <c r="L12" s="84">
        <f t="shared" si="5"/>
        <v>-0.36375547852508716</v>
      </c>
      <c r="M12" s="66"/>
      <c r="N12" s="67"/>
      <c r="O12" s="13" t="s">
        <v>72</v>
      </c>
      <c r="P12" s="27"/>
      <c r="Q12" s="66"/>
      <c r="R12" s="66"/>
      <c r="S12" s="66"/>
      <c r="T12" s="66"/>
      <c r="U12" s="66"/>
      <c r="V12" s="83"/>
      <c r="W12" s="66"/>
      <c r="X12" s="66"/>
      <c r="Y12" s="66"/>
      <c r="Z12" s="66"/>
      <c r="AA12" s="66"/>
      <c r="AB12" s="66"/>
      <c r="AC12" s="66"/>
      <c r="AD12" s="66"/>
      <c r="AE12" s="66"/>
      <c r="AF12" s="66"/>
      <c r="AG12" s="66"/>
      <c r="AH12" s="66"/>
      <c r="AI12" s="66"/>
      <c r="AJ12" s="66"/>
      <c r="AK12" s="66"/>
      <c r="AL12" s="66"/>
      <c r="AM12" s="66"/>
    </row>
    <row r="13" spans="1:39" ht="18" thickBot="1" x14ac:dyDescent="0.4">
      <c r="A13" s="88" t="s">
        <v>16</v>
      </c>
      <c r="B13" s="89">
        <v>-0.6095702624353273</v>
      </c>
      <c r="C13" s="89">
        <v>-0.63131378821332695</v>
      </c>
      <c r="D13" s="89">
        <v>-2.0175556944376272</v>
      </c>
      <c r="E13" s="89">
        <v>-0.20655204364310459</v>
      </c>
      <c r="F13" s="89">
        <v>-5.330788399312422E-3</v>
      </c>
      <c r="G13" s="89">
        <v>-0.41564762684525058</v>
      </c>
      <c r="H13" s="89">
        <v>-6.5505310386073587E-2</v>
      </c>
      <c r="I13" s="89">
        <v>-0.98014422680394331</v>
      </c>
      <c r="J13" s="89">
        <v>-5.2783458604365181E-2</v>
      </c>
      <c r="K13" s="89">
        <v>0.21420985237015064</v>
      </c>
      <c r="L13" s="84">
        <f>IF(C13&lt;&gt;"",K13,B13)</f>
        <v>0.21420985237015064</v>
      </c>
      <c r="M13" s="66"/>
      <c r="N13" s="67"/>
      <c r="O13" s="23" t="str">
        <f>L8</f>
        <v>Otro</v>
      </c>
      <c r="P13" s="28">
        <f>VLOOKUP(O13,O2:P11,2,0)</f>
        <v>-0.17787614385870665</v>
      </c>
      <c r="Q13" s="66"/>
      <c r="R13" s="66"/>
      <c r="S13" s="66"/>
      <c r="T13" s="66"/>
      <c r="U13" s="66"/>
      <c r="V13" s="83"/>
      <c r="W13" s="66"/>
      <c r="X13" s="66"/>
      <c r="Y13" s="66"/>
      <c r="Z13" s="66"/>
      <c r="AA13" s="66"/>
      <c r="AB13" s="66"/>
      <c r="AC13" s="66"/>
      <c r="AD13" s="66"/>
      <c r="AE13" s="66"/>
      <c r="AF13" s="66"/>
      <c r="AG13" s="66"/>
      <c r="AH13" s="66"/>
      <c r="AI13" s="66"/>
      <c r="AJ13" s="66"/>
      <c r="AK13" s="66"/>
      <c r="AL13" s="66"/>
      <c r="AM13" s="66"/>
    </row>
    <row r="14" spans="1:39" ht="18" thickBot="1" x14ac:dyDescent="0.4">
      <c r="A14" s="66"/>
      <c r="B14" s="66"/>
      <c r="C14" s="66"/>
      <c r="D14" s="66"/>
      <c r="E14" s="66"/>
      <c r="F14" s="66"/>
      <c r="G14" s="66"/>
      <c r="H14" s="66"/>
      <c r="I14" s="66"/>
      <c r="J14" s="66"/>
      <c r="K14" s="66"/>
      <c r="L14" s="66"/>
      <c r="M14" s="66"/>
      <c r="N14" s="67"/>
      <c r="O14" s="98" t="s">
        <v>71</v>
      </c>
      <c r="P14" s="99">
        <v>2021</v>
      </c>
      <c r="Q14" s="100">
        <v>2022</v>
      </c>
      <c r="R14" s="66"/>
      <c r="S14" s="66"/>
      <c r="T14" s="66"/>
      <c r="U14" s="66"/>
      <c r="V14" s="83"/>
      <c r="W14" s="66"/>
      <c r="X14" s="66"/>
      <c r="Y14" s="66"/>
      <c r="Z14" s="66"/>
      <c r="AA14" s="66"/>
      <c r="AB14" s="66"/>
      <c r="AC14" s="66"/>
      <c r="AD14" s="66"/>
      <c r="AE14" s="66"/>
      <c r="AF14" s="66"/>
      <c r="AG14" s="66"/>
      <c r="AH14" s="66"/>
      <c r="AI14" s="66"/>
      <c r="AJ14" s="66"/>
      <c r="AK14" s="66"/>
      <c r="AL14" s="66"/>
      <c r="AM14" s="66"/>
    </row>
    <row r="15" spans="1:39" x14ac:dyDescent="0.35">
      <c r="A15" s="86" t="s">
        <v>27</v>
      </c>
      <c r="B15" s="88">
        <v>2022</v>
      </c>
      <c r="C15" s="66"/>
      <c r="D15" s="66"/>
      <c r="E15" s="66"/>
      <c r="F15" s="66"/>
      <c r="G15" s="66"/>
      <c r="H15" s="66"/>
      <c r="I15" s="66"/>
      <c r="J15" s="66"/>
      <c r="K15" s="66"/>
      <c r="L15" s="66"/>
      <c r="M15" s="66"/>
      <c r="N15" s="67"/>
      <c r="O15" s="101" t="s">
        <v>7</v>
      </c>
      <c r="P15" s="143">
        <f>SUM(U36:Y36)</f>
        <v>194845007.71760181</v>
      </c>
      <c r="Q15" s="144">
        <f t="shared" ref="Q15:Q22" si="6">SUM(AG36:AK36)</f>
        <v>139399894.39439866</v>
      </c>
      <c r="R15" s="66"/>
      <c r="S15" s="74" t="s">
        <v>7</v>
      </c>
      <c r="T15" s="69" t="e" vm="1">
        <v>#VALUE!</v>
      </c>
      <c r="U15" s="66"/>
      <c r="V15" s="83"/>
      <c r="W15" s="66"/>
      <c r="X15" s="66"/>
      <c r="Y15" s="66"/>
      <c r="Z15" s="66"/>
      <c r="AA15" s="66"/>
      <c r="AB15" s="66"/>
      <c r="AC15" s="66"/>
      <c r="AD15" s="66"/>
      <c r="AE15" s="66"/>
      <c r="AF15" s="66"/>
      <c r="AG15" s="66"/>
      <c r="AH15" s="66"/>
      <c r="AI15" s="66"/>
      <c r="AJ15" s="66"/>
      <c r="AK15" s="66"/>
      <c r="AL15" s="66"/>
      <c r="AM15" s="66"/>
    </row>
    <row r="16" spans="1:39" x14ac:dyDescent="0.35">
      <c r="A16" s="66"/>
      <c r="B16" s="66"/>
      <c r="C16" s="66"/>
      <c r="D16" s="66"/>
      <c r="E16" s="66"/>
      <c r="F16" s="66"/>
      <c r="G16" s="66"/>
      <c r="H16" s="66"/>
      <c r="I16" s="66"/>
      <c r="J16" s="66"/>
      <c r="K16" s="66"/>
      <c r="L16" s="66"/>
      <c r="M16" s="66"/>
      <c r="N16" s="67"/>
      <c r="O16" s="101" t="s">
        <v>48</v>
      </c>
      <c r="P16" s="143">
        <f t="shared" ref="P16:P24" si="7">SUM(U37:Y37)</f>
        <v>3699880.3492000001</v>
      </c>
      <c r="Q16" s="144">
        <f t="shared" si="6"/>
        <v>5169560.1228000112</v>
      </c>
      <c r="R16" s="66"/>
      <c r="S16" s="81" t="s">
        <v>48</v>
      </c>
      <c r="T16" s="83" t="e" vm="2">
        <v>#VALUE!</v>
      </c>
      <c r="U16" s="66"/>
      <c r="V16" s="83"/>
      <c r="W16" s="66"/>
      <c r="X16" s="66"/>
      <c r="Y16" s="66"/>
      <c r="Z16" s="66"/>
      <c r="AA16" s="66"/>
      <c r="AB16" s="66"/>
      <c r="AC16" s="66"/>
      <c r="AD16" s="66"/>
      <c r="AE16" s="66"/>
      <c r="AF16" s="66"/>
      <c r="AG16" s="66"/>
      <c r="AH16" s="66"/>
      <c r="AI16" s="66"/>
      <c r="AJ16" s="66"/>
      <c r="AK16" s="66"/>
      <c r="AL16" s="66"/>
      <c r="AM16" s="66"/>
    </row>
    <row r="17" spans="1:39" x14ac:dyDescent="0.35">
      <c r="A17" s="86" t="s">
        <v>44</v>
      </c>
      <c r="B17" s="86" t="s">
        <v>2</v>
      </c>
      <c r="C17" s="66"/>
      <c r="D17" s="66"/>
      <c r="E17" s="66"/>
      <c r="F17" s="66"/>
      <c r="G17" s="66"/>
      <c r="H17" s="66"/>
      <c r="I17" s="66"/>
      <c r="J17" s="66"/>
      <c r="K17" s="66"/>
      <c r="L17" s="66"/>
      <c r="M17" s="66"/>
      <c r="N17" s="67"/>
      <c r="O17" s="101" t="s">
        <v>49</v>
      </c>
      <c r="P17" s="143">
        <f t="shared" si="7"/>
        <v>6178556.7200000007</v>
      </c>
      <c r="Q17" s="144">
        <f t="shared" si="6"/>
        <v>6794910.7160231527</v>
      </c>
      <c r="R17" s="66"/>
      <c r="S17" s="81" t="s">
        <v>49</v>
      </c>
      <c r="T17" s="83" t="e" vm="3">
        <v>#VALUE!</v>
      </c>
      <c r="U17" s="66"/>
      <c r="V17" s="83"/>
      <c r="W17" s="66"/>
      <c r="X17" s="66"/>
      <c r="Y17" s="66"/>
      <c r="Z17" s="66"/>
      <c r="AA17" s="66"/>
      <c r="AB17" s="66"/>
      <c r="AC17" s="66"/>
      <c r="AD17" s="66"/>
      <c r="AE17" s="66"/>
      <c r="AF17" s="66"/>
      <c r="AG17" s="66"/>
      <c r="AH17" s="66"/>
      <c r="AI17" s="66"/>
      <c r="AJ17" s="66"/>
      <c r="AK17" s="66"/>
      <c r="AL17" s="66"/>
      <c r="AM17" s="66"/>
    </row>
    <row r="18" spans="1:39" x14ac:dyDescent="0.35">
      <c r="A18" s="86" t="s">
        <v>47</v>
      </c>
      <c r="B18" s="66" t="s">
        <v>12</v>
      </c>
      <c r="C18" s="66" t="s">
        <v>13</v>
      </c>
      <c r="D18" s="66" t="s">
        <v>14</v>
      </c>
      <c r="E18" s="66" t="s">
        <v>15</v>
      </c>
      <c r="F18" s="66" t="s">
        <v>16</v>
      </c>
      <c r="G18" s="66"/>
      <c r="H18" s="66"/>
      <c r="I18" s="66"/>
      <c r="J18" s="66"/>
      <c r="K18" s="66"/>
      <c r="L18" s="66"/>
      <c r="M18" s="66"/>
      <c r="N18" s="67"/>
      <c r="O18" s="101" t="s">
        <v>53</v>
      </c>
      <c r="P18" s="143">
        <f t="shared" si="7"/>
        <v>9075563.6999999993</v>
      </c>
      <c r="Q18" s="144">
        <f t="shared" si="6"/>
        <v>15132256.385929573</v>
      </c>
      <c r="R18" s="66"/>
      <c r="S18" s="81" t="s">
        <v>53</v>
      </c>
      <c r="T18" s="83" t="e" vm="4">
        <v>#VALUE!</v>
      </c>
      <c r="U18" s="66"/>
      <c r="V18" s="83"/>
      <c r="W18" s="66"/>
      <c r="X18" s="66"/>
      <c r="Y18" s="66"/>
      <c r="Z18" s="66"/>
      <c r="AA18" s="66"/>
      <c r="AB18" s="66"/>
      <c r="AC18" s="66"/>
      <c r="AD18" s="66"/>
      <c r="AE18" s="66"/>
      <c r="AF18" s="66"/>
      <c r="AG18" s="66"/>
      <c r="AH18" s="66"/>
      <c r="AI18" s="66"/>
      <c r="AJ18" s="66"/>
      <c r="AK18" s="66"/>
      <c r="AL18" s="66"/>
      <c r="AM18" s="66"/>
    </row>
    <row r="19" spans="1:39" x14ac:dyDescent="0.35">
      <c r="A19" s="88" t="s">
        <v>49</v>
      </c>
      <c r="B19" s="149">
        <v>2181525.3500231742</v>
      </c>
      <c r="C19" s="149">
        <v>1863307.5243999837</v>
      </c>
      <c r="D19" s="149">
        <v>1203637.6919999933</v>
      </c>
      <c r="E19" s="149">
        <v>1062832.6696000062</v>
      </c>
      <c r="F19" s="149">
        <v>483607.47999999463</v>
      </c>
      <c r="G19" s="66"/>
      <c r="H19" s="66"/>
      <c r="I19" s="66"/>
      <c r="J19" s="66"/>
      <c r="K19" s="66"/>
      <c r="L19" s="66"/>
      <c r="M19" s="66"/>
      <c r="N19" s="67"/>
      <c r="O19" s="101" t="s">
        <v>51</v>
      </c>
      <c r="P19" s="143">
        <f t="shared" si="7"/>
        <v>18902949.059999995</v>
      </c>
      <c r="Q19" s="144">
        <f t="shared" si="6"/>
        <v>23728612.684400436</v>
      </c>
      <c r="R19" s="66"/>
      <c r="S19" s="81" t="s">
        <v>51</v>
      </c>
      <c r="T19" s="83" t="e" vm="5">
        <v>#VALUE!</v>
      </c>
      <c r="U19" s="66"/>
      <c r="V19" s="83"/>
      <c r="W19" s="66"/>
      <c r="X19" s="66"/>
      <c r="Y19" s="66"/>
      <c r="Z19" s="66"/>
      <c r="AA19" s="66"/>
      <c r="AB19" s="66"/>
      <c r="AC19" s="66"/>
      <c r="AD19" s="66"/>
      <c r="AE19" s="66"/>
      <c r="AF19" s="66"/>
      <c r="AG19" s="66"/>
      <c r="AH19" s="66"/>
      <c r="AI19" s="66"/>
      <c r="AJ19" s="66"/>
      <c r="AK19" s="66"/>
      <c r="AL19" s="66"/>
      <c r="AM19" s="66"/>
    </row>
    <row r="20" spans="1:39" x14ac:dyDescent="0.35">
      <c r="A20" s="88" t="s">
        <v>48</v>
      </c>
      <c r="B20" s="149">
        <v>1562010.3507999948</v>
      </c>
      <c r="C20" s="149">
        <v>1017245.7135999969</v>
      </c>
      <c r="D20" s="149">
        <v>794246.95399999688</v>
      </c>
      <c r="E20" s="149">
        <v>1343869.3960000246</v>
      </c>
      <c r="F20" s="149">
        <v>452187.70839999756</v>
      </c>
      <c r="G20" s="66"/>
      <c r="H20" s="66"/>
      <c r="I20" s="66"/>
      <c r="J20" s="66"/>
      <c r="K20" s="66"/>
      <c r="L20" s="66"/>
      <c r="M20" s="66"/>
      <c r="N20" s="67"/>
      <c r="O20" s="101" t="s">
        <v>31</v>
      </c>
      <c r="P20" s="143">
        <f t="shared" si="7"/>
        <v>2789748.7480000001</v>
      </c>
      <c r="Q20" s="144">
        <f t="shared" si="6"/>
        <v>2476695.0300000063</v>
      </c>
      <c r="R20" s="66"/>
      <c r="S20" s="81" t="s">
        <v>31</v>
      </c>
      <c r="T20" s="83" t="e" vm="6">
        <v>#VALUE!</v>
      </c>
      <c r="U20" s="66"/>
      <c r="V20" s="83"/>
      <c r="W20" s="66"/>
      <c r="X20" s="66"/>
      <c r="Y20" s="66"/>
      <c r="Z20" s="66"/>
      <c r="AA20" s="66"/>
      <c r="AB20" s="66"/>
      <c r="AC20" s="66"/>
      <c r="AD20" s="66"/>
      <c r="AE20" s="66"/>
      <c r="AF20" s="66"/>
      <c r="AG20" s="66"/>
      <c r="AH20" s="66"/>
      <c r="AI20" s="66"/>
      <c r="AJ20" s="66"/>
      <c r="AK20" s="66"/>
      <c r="AL20" s="66"/>
      <c r="AM20" s="66"/>
    </row>
    <row r="21" spans="1:39" x14ac:dyDescent="0.35">
      <c r="A21" s="88" t="s">
        <v>52</v>
      </c>
      <c r="B21" s="149">
        <v>9724529.6100000087</v>
      </c>
      <c r="C21" s="149">
        <v>7891595.918400012</v>
      </c>
      <c r="D21" s="149">
        <v>4726182.6644000113</v>
      </c>
      <c r="E21" s="149">
        <v>3414983.9488000125</v>
      </c>
      <c r="F21" s="149">
        <v>896398.12000000849</v>
      </c>
      <c r="G21" s="66"/>
      <c r="H21" s="66"/>
      <c r="I21" s="66"/>
      <c r="J21" s="66"/>
      <c r="K21" s="66"/>
      <c r="L21" s="66"/>
      <c r="M21" s="66"/>
      <c r="N21" s="67"/>
      <c r="O21" s="101" t="s">
        <v>52</v>
      </c>
      <c r="P21" s="143">
        <f t="shared" si="7"/>
        <v>42293671.009999998</v>
      </c>
      <c r="Q21" s="144">
        <f t="shared" si="6"/>
        <v>26653690.261600051</v>
      </c>
      <c r="R21" s="66"/>
      <c r="S21" s="81" t="s">
        <v>52</v>
      </c>
      <c r="T21" s="83" t="e" vm="7">
        <v>#VALUE!</v>
      </c>
      <c r="U21" s="66"/>
      <c r="V21" s="83"/>
      <c r="W21" s="66"/>
      <c r="X21" s="66"/>
      <c r="Y21" s="66"/>
      <c r="Z21" s="66"/>
      <c r="AA21" s="66"/>
      <c r="AB21" s="66"/>
      <c r="AC21" s="66"/>
      <c r="AD21" s="66"/>
      <c r="AE21" s="66"/>
      <c r="AF21" s="66"/>
      <c r="AG21" s="66"/>
      <c r="AH21" s="66"/>
      <c r="AI21" s="66"/>
      <c r="AJ21" s="66"/>
      <c r="AK21" s="66"/>
      <c r="AL21" s="66"/>
      <c r="AM21" s="66"/>
    </row>
    <row r="22" spans="1:39" x14ac:dyDescent="0.35">
      <c r="A22" s="88" t="s">
        <v>55</v>
      </c>
      <c r="B22" s="149">
        <v>2508115.6700000041</v>
      </c>
      <c r="C22" s="149">
        <v>2028083.7611999991</v>
      </c>
      <c r="D22" s="149">
        <v>1711111.2555999947</v>
      </c>
      <c r="E22" s="149">
        <v>1667247.143200017</v>
      </c>
      <c r="F22" s="149">
        <v>1025793.8115999928</v>
      </c>
      <c r="G22" s="66"/>
      <c r="H22" s="66"/>
      <c r="I22" s="66"/>
      <c r="J22" s="66"/>
      <c r="K22" s="66"/>
      <c r="L22" s="66"/>
      <c r="M22" s="66"/>
      <c r="N22" s="67"/>
      <c r="O22" s="101" t="s">
        <v>55</v>
      </c>
      <c r="P22" s="143">
        <f t="shared" si="7"/>
        <v>8561076.0199999996</v>
      </c>
      <c r="Q22" s="144">
        <f t="shared" si="6"/>
        <v>8940351.6416000072</v>
      </c>
      <c r="R22" s="66"/>
      <c r="S22" s="81" t="s">
        <v>55</v>
      </c>
      <c r="T22" s="83" t="e" vm="8">
        <v>#VALUE!</v>
      </c>
      <c r="U22" s="66"/>
      <c r="V22" s="83"/>
      <c r="W22" s="66"/>
      <c r="X22" s="66"/>
      <c r="Y22" s="66"/>
      <c r="Z22" s="66"/>
      <c r="AA22" s="66"/>
      <c r="AB22" s="66"/>
      <c r="AC22" s="66"/>
      <c r="AD22" s="66"/>
      <c r="AE22" s="66"/>
      <c r="AF22" s="66"/>
      <c r="AG22" s="66"/>
      <c r="AH22" s="66"/>
      <c r="AI22" s="66"/>
      <c r="AJ22" s="66"/>
      <c r="AK22" s="66"/>
      <c r="AL22" s="66"/>
      <c r="AM22" s="66"/>
    </row>
    <row r="23" spans="1:39" x14ac:dyDescent="0.35">
      <c r="A23" s="88" t="s">
        <v>7</v>
      </c>
      <c r="B23" s="149">
        <v>51801996.096399441</v>
      </c>
      <c r="C23" s="149">
        <v>27174015.429199684</v>
      </c>
      <c r="D23" s="149">
        <v>24774697.164399713</v>
      </c>
      <c r="E23" s="149">
        <v>20493928.062400039</v>
      </c>
      <c r="F23" s="149">
        <v>15155257.64199977</v>
      </c>
      <c r="G23" s="66"/>
      <c r="H23" s="66"/>
      <c r="I23" s="66"/>
      <c r="J23" s="66"/>
      <c r="K23" s="66"/>
      <c r="L23" s="66"/>
      <c r="M23" s="66"/>
      <c r="N23" s="67"/>
      <c r="O23" s="81" t="s">
        <v>50</v>
      </c>
      <c r="P23" s="143">
        <f t="shared" si="7"/>
        <v>17307159.890000001</v>
      </c>
      <c r="Q23" s="144">
        <v>22292581.121199783</v>
      </c>
      <c r="R23" s="66"/>
      <c r="S23" s="81" t="s">
        <v>50</v>
      </c>
      <c r="T23" s="83" t="e" vm="9">
        <v>#VALUE!</v>
      </c>
      <c r="U23" s="66"/>
      <c r="V23" s="83"/>
      <c r="W23" s="66"/>
      <c r="X23" s="66"/>
      <c r="Y23" s="66"/>
      <c r="Z23" s="66"/>
      <c r="AA23" s="66"/>
      <c r="AB23" s="66"/>
      <c r="AC23" s="66"/>
      <c r="AD23" s="66"/>
      <c r="AE23" s="66"/>
      <c r="AF23" s="66"/>
      <c r="AG23" s="66"/>
      <c r="AH23" s="66"/>
      <c r="AI23" s="66"/>
      <c r="AJ23" s="66"/>
      <c r="AK23" s="66"/>
      <c r="AL23" s="66"/>
      <c r="AM23" s="66"/>
    </row>
    <row r="24" spans="1:39" ht="18" thickBot="1" x14ac:dyDescent="0.4">
      <c r="A24" s="88" t="s">
        <v>53</v>
      </c>
      <c r="B24" s="149">
        <v>6585878.6659295838</v>
      </c>
      <c r="C24" s="149">
        <v>3828324.8000000063</v>
      </c>
      <c r="D24" s="149">
        <v>2270751.040000001</v>
      </c>
      <c r="E24" s="149">
        <v>1430125.7199999946</v>
      </c>
      <c r="F24" s="149">
        <v>1017176.1599999878</v>
      </c>
      <c r="G24" s="66"/>
      <c r="H24" s="66"/>
      <c r="I24" s="66"/>
      <c r="J24" s="66"/>
      <c r="K24" s="66"/>
      <c r="L24" s="66"/>
      <c r="M24" s="66"/>
      <c r="N24" s="67"/>
      <c r="O24" s="91" t="s">
        <v>78</v>
      </c>
      <c r="P24" s="145">
        <f t="shared" si="7"/>
        <v>303653613.21480179</v>
      </c>
      <c r="Q24" s="146">
        <f>SUM(AG45:AK45)</f>
        <v>257797574.72635159</v>
      </c>
      <c r="R24" s="94"/>
      <c r="S24" s="91" t="s">
        <v>78</v>
      </c>
      <c r="T24" s="97" t="e" vm="9">
        <v>#VALUE!</v>
      </c>
      <c r="U24" s="94"/>
      <c r="V24" s="97"/>
      <c r="W24" s="66"/>
      <c r="X24" s="66"/>
      <c r="Y24" s="66"/>
      <c r="Z24" s="66"/>
      <c r="AA24" s="66"/>
      <c r="AB24" s="66"/>
      <c r="AC24" s="66"/>
      <c r="AD24" s="66"/>
      <c r="AE24" s="66"/>
      <c r="AF24" s="66"/>
      <c r="AG24" s="66"/>
      <c r="AH24" s="66"/>
      <c r="AI24" s="66"/>
      <c r="AJ24" s="66"/>
      <c r="AK24" s="66"/>
      <c r="AL24" s="66"/>
      <c r="AM24" s="66"/>
    </row>
    <row r="25" spans="1:39" ht="18" thickBot="1" x14ac:dyDescent="0.4">
      <c r="A25" s="88" t="s">
        <v>50</v>
      </c>
      <c r="B25" s="149">
        <v>9391953.5904000178</v>
      </c>
      <c r="C25" s="149">
        <v>7019082.2103999266</v>
      </c>
      <c r="D25" s="149">
        <v>3319857.2207999369</v>
      </c>
      <c r="E25" s="149">
        <v>2561688.0995999016</v>
      </c>
      <c r="F25" s="149">
        <v>1160808.5083999911</v>
      </c>
      <c r="G25" s="66"/>
      <c r="H25" s="66"/>
      <c r="I25" s="66"/>
      <c r="J25" s="66"/>
      <c r="K25" s="66"/>
      <c r="L25" s="66"/>
      <c r="M25" s="66"/>
      <c r="N25" s="102"/>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row>
    <row r="26" spans="1:39" x14ac:dyDescent="0.35">
      <c r="A26" s="88" t="s">
        <v>51</v>
      </c>
      <c r="B26" s="149">
        <v>10453006.604400035</v>
      </c>
      <c r="C26" s="149">
        <v>4324806.5400000829</v>
      </c>
      <c r="D26" s="149">
        <v>3139176.9200001056</v>
      </c>
      <c r="E26" s="149">
        <v>3037284.2600001059</v>
      </c>
      <c r="F26" s="149">
        <v>2774338.3600001088</v>
      </c>
      <c r="G26" s="66"/>
      <c r="H26" s="66"/>
      <c r="I26" s="66"/>
      <c r="J26" s="66"/>
      <c r="K26" s="66"/>
      <c r="L26" s="66"/>
      <c r="M26" s="66"/>
      <c r="N26" s="67"/>
      <c r="O26" s="19" t="s">
        <v>67</v>
      </c>
      <c r="P26" s="21"/>
      <c r="Q26" s="22"/>
      <c r="R26" s="66"/>
      <c r="S26" s="66"/>
      <c r="T26" s="66"/>
      <c r="U26" s="66"/>
      <c r="V26" s="66"/>
      <c r="W26" s="66"/>
      <c r="X26" s="66"/>
      <c r="Y26" s="66"/>
      <c r="Z26" s="66"/>
      <c r="AA26" s="66"/>
      <c r="AB26" s="66"/>
      <c r="AC26" s="66"/>
      <c r="AD26" s="66"/>
      <c r="AE26" s="66"/>
      <c r="AF26" s="66"/>
      <c r="AG26" s="66"/>
      <c r="AH26" s="66"/>
      <c r="AI26" s="66"/>
      <c r="AJ26" s="66"/>
      <c r="AK26" s="66"/>
      <c r="AL26" s="66"/>
      <c r="AM26" s="66"/>
    </row>
    <row r="27" spans="1:39" ht="18" thickBot="1" x14ac:dyDescent="0.4">
      <c r="A27" s="88" t="s">
        <v>31</v>
      </c>
      <c r="B27" s="149">
        <v>515532.91000000096</v>
      </c>
      <c r="C27" s="149">
        <v>514785.94840000034</v>
      </c>
      <c r="D27" s="149">
        <v>546816.52959999978</v>
      </c>
      <c r="E27" s="149">
        <v>617853.64200000511</v>
      </c>
      <c r="F27" s="149">
        <v>281705.99999999994</v>
      </c>
      <c r="G27" s="66"/>
      <c r="H27" s="66"/>
      <c r="I27" s="66"/>
      <c r="J27" s="66"/>
      <c r="K27" s="66"/>
      <c r="L27" s="66"/>
      <c r="M27" s="66"/>
      <c r="N27" s="67"/>
      <c r="O27" s="20" t="str">
        <f>L8</f>
        <v>Otro</v>
      </c>
      <c r="P27" s="29">
        <f>SUM(P29:P40)</f>
        <v>707389149.63001561</v>
      </c>
      <c r="Q27" s="30">
        <f>SUM(Q29:Q33)</f>
        <v>257797574.72635159</v>
      </c>
      <c r="R27" s="66"/>
      <c r="S27" s="66"/>
      <c r="T27" s="66"/>
      <c r="U27" s="66"/>
      <c r="V27" s="66"/>
      <c r="W27" s="66"/>
      <c r="X27" s="66"/>
      <c r="Y27" s="66"/>
      <c r="Z27" s="66"/>
      <c r="AA27" s="66"/>
      <c r="AB27" s="66"/>
      <c r="AC27" s="66"/>
      <c r="AD27" s="66"/>
      <c r="AE27" s="66"/>
      <c r="AF27" s="66"/>
      <c r="AG27" s="66"/>
      <c r="AH27" s="66"/>
      <c r="AI27" s="66"/>
      <c r="AJ27" s="66"/>
      <c r="AK27" s="66"/>
      <c r="AL27" s="66"/>
      <c r="AM27" s="66"/>
    </row>
    <row r="28" spans="1:39" x14ac:dyDescent="0.35">
      <c r="A28" s="88" t="s">
        <v>78</v>
      </c>
      <c r="B28" s="149">
        <v>94724549.227952212</v>
      </c>
      <c r="C28" s="149">
        <v>55661247.845599696</v>
      </c>
      <c r="D28" s="149">
        <v>42486477.44079975</v>
      </c>
      <c r="E28" s="149">
        <v>35678026.421600103</v>
      </c>
      <c r="F28" s="149">
        <v>29247273.790399849</v>
      </c>
      <c r="G28" s="66"/>
      <c r="H28" s="66"/>
      <c r="I28" s="66"/>
      <c r="J28" s="66"/>
      <c r="K28" s="66"/>
      <c r="L28" s="66"/>
      <c r="M28" s="66"/>
      <c r="N28" s="67"/>
      <c r="O28" s="103" t="s">
        <v>2</v>
      </c>
      <c r="P28" s="104">
        <v>2021</v>
      </c>
      <c r="Q28" s="105">
        <v>2022</v>
      </c>
      <c r="R28" s="106"/>
      <c r="S28" s="106"/>
      <c r="T28" s="106"/>
      <c r="U28" s="106"/>
      <c r="V28" s="106"/>
      <c r="W28" s="106"/>
      <c r="X28" s="106"/>
      <c r="Y28" s="106"/>
      <c r="Z28" s="106"/>
      <c r="AA28" s="106"/>
      <c r="AB28" s="106"/>
      <c r="AC28" s="66"/>
      <c r="AD28" s="66"/>
      <c r="AE28" s="66"/>
      <c r="AF28" s="66"/>
      <c r="AG28" s="66"/>
      <c r="AH28" s="66"/>
      <c r="AI28" s="66"/>
      <c r="AJ28" s="66"/>
      <c r="AK28" s="66"/>
      <c r="AL28" s="66"/>
      <c r="AM28" s="66"/>
    </row>
    <row r="29" spans="1:39" x14ac:dyDescent="0.35">
      <c r="A29" s="66"/>
      <c r="B29" s="66"/>
      <c r="C29" s="66"/>
      <c r="D29" s="66"/>
      <c r="E29" s="66"/>
      <c r="F29" s="66"/>
      <c r="G29" s="66"/>
      <c r="H29" s="66"/>
      <c r="I29" s="66"/>
      <c r="J29" s="66"/>
      <c r="K29" s="66"/>
      <c r="L29" s="66"/>
      <c r="M29" s="66"/>
      <c r="N29" s="67"/>
      <c r="O29" s="101" t="s">
        <v>12</v>
      </c>
      <c r="P29" s="107">
        <f>VLOOKUP($O$27,$T$36:$AF$45,2,0)</f>
        <v>79521840.847199991</v>
      </c>
      <c r="Q29" s="108">
        <f>VLOOKUP(O27,T36:AK45,14,0)</f>
        <v>94724549.227952212</v>
      </c>
      <c r="R29" s="66"/>
      <c r="S29" s="66"/>
      <c r="T29" s="66"/>
      <c r="U29" s="66"/>
      <c r="V29" s="66"/>
      <c r="W29" s="66"/>
      <c r="X29" s="66"/>
      <c r="Y29" s="66"/>
      <c r="Z29" s="66"/>
      <c r="AA29" s="66"/>
      <c r="AB29" s="66"/>
      <c r="AC29" s="66"/>
      <c r="AD29" s="66"/>
      <c r="AE29" s="66"/>
      <c r="AF29" s="66"/>
      <c r="AG29" s="66"/>
      <c r="AH29" s="66"/>
      <c r="AI29" s="66"/>
      <c r="AJ29" s="66"/>
      <c r="AK29" s="66"/>
      <c r="AL29" s="66"/>
      <c r="AM29" s="66"/>
    </row>
    <row r="30" spans="1:39" x14ac:dyDescent="0.35">
      <c r="A30" s="131" t="str">
        <f>B8</f>
        <v>ACA</v>
      </c>
      <c r="B30" s="65">
        <f>VLOOKUP($A$30,$A$19:$M$29,2,0)</f>
        <v>2181525.3500231742</v>
      </c>
      <c r="C30" s="65">
        <f>VLOOKUP($A$30,$A$19:$M$29,3,0)</f>
        <v>1863307.5243999837</v>
      </c>
      <c r="D30" s="65">
        <f>VLOOKUP($A$30,$A$19:$M$29,4,0)</f>
        <v>1203637.6919999933</v>
      </c>
      <c r="E30" s="65">
        <f>VLOOKUP($A$30,$A$19:$M$29,5,0)</f>
        <v>1062832.6696000062</v>
      </c>
      <c r="F30" s="65">
        <f>VLOOKUP($A$30,$A$19:$M$29,6,0)</f>
        <v>483607.47999999463</v>
      </c>
      <c r="G30" s="65">
        <f>VLOOKUP($A$30,$A$19:$M$29,7,0)</f>
        <v>0</v>
      </c>
      <c r="H30" s="65">
        <f>VLOOKUP($A$30,$A$19:$M$29,8,0)</f>
        <v>0</v>
      </c>
      <c r="I30" s="65">
        <f>VLOOKUP($A$30,$A$19:$M$29,9,0)</f>
        <v>0</v>
      </c>
      <c r="J30" s="65">
        <f>VLOOKUP($A$30,$A$19:$M$29,10,0)</f>
        <v>0</v>
      </c>
      <c r="K30" s="65">
        <f>VLOOKUP($A$30,$A$19:$M$29,11,0)</f>
        <v>0</v>
      </c>
      <c r="L30" s="65">
        <f>VLOOKUP($A$30,$A$19:$M$29,12,0)</f>
        <v>0</v>
      </c>
      <c r="M30" s="65">
        <f>VLOOKUP($A$30,$A$19:$M$29,13,0)</f>
        <v>0</v>
      </c>
      <c r="N30" s="67"/>
      <c r="O30" s="81" t="s">
        <v>13</v>
      </c>
      <c r="P30" s="107">
        <f>VLOOKUP($O$27,$T$36:$AF$45,3,0)</f>
        <v>77047188.935200393</v>
      </c>
      <c r="Q30" s="108">
        <f>VLOOKUP(O27,T36:AK45,15,0)</f>
        <v>55661247.845599689</v>
      </c>
      <c r="R30" s="66"/>
      <c r="S30" s="66"/>
      <c r="T30" s="88"/>
      <c r="U30" s="109"/>
      <c r="V30" s="66"/>
      <c r="W30" s="66"/>
      <c r="X30" s="66"/>
      <c r="Y30" s="66"/>
      <c r="Z30" s="66"/>
      <c r="AA30" s="66"/>
      <c r="AB30" s="66"/>
      <c r="AC30" s="66"/>
      <c r="AD30" s="66"/>
      <c r="AE30" s="66"/>
      <c r="AF30" s="66"/>
      <c r="AG30" s="66"/>
      <c r="AH30" s="66"/>
      <c r="AI30" s="66"/>
      <c r="AJ30" s="66"/>
      <c r="AK30" s="66"/>
      <c r="AL30" s="66"/>
      <c r="AM30" s="66"/>
    </row>
    <row r="31" spans="1:39" x14ac:dyDescent="0.35">
      <c r="A31" s="66"/>
      <c r="B31" s="66"/>
      <c r="C31" s="66"/>
      <c r="D31" s="66"/>
      <c r="E31" s="66"/>
      <c r="F31" s="66"/>
      <c r="G31" s="66"/>
      <c r="H31" s="66"/>
      <c r="I31" s="66"/>
      <c r="J31" s="66"/>
      <c r="K31" s="66"/>
      <c r="L31" s="66"/>
      <c r="M31" s="85"/>
      <c r="N31" s="67"/>
      <c r="O31" s="81" t="s">
        <v>14</v>
      </c>
      <c r="P31" s="107">
        <f>VLOOKUP($O$27,$T$36:$AF$45,4,0)</f>
        <v>51587914.054001391</v>
      </c>
      <c r="Q31" s="108">
        <f>VLOOKUP(O27,T36:AK45,16,0)</f>
        <v>42486477.44079975</v>
      </c>
      <c r="R31" s="66"/>
      <c r="S31" s="66"/>
      <c r="T31" s="86" t="s">
        <v>28</v>
      </c>
      <c r="U31" s="66" t="s">
        <v>74</v>
      </c>
      <c r="V31" s="66"/>
      <c r="W31" s="66"/>
      <c r="X31" s="66"/>
      <c r="Y31" s="66"/>
      <c r="Z31" s="66"/>
      <c r="AA31" s="66"/>
      <c r="AB31" s="66"/>
      <c r="AC31" s="66"/>
      <c r="AD31" s="66"/>
      <c r="AE31" s="66"/>
      <c r="AF31" s="66"/>
      <c r="AG31" s="66"/>
      <c r="AH31" s="66"/>
      <c r="AI31" s="66"/>
      <c r="AJ31" s="66"/>
      <c r="AK31" s="66"/>
      <c r="AL31" s="66"/>
      <c r="AM31" s="66"/>
    </row>
    <row r="32" spans="1:39" x14ac:dyDescent="0.35">
      <c r="A32" s="88"/>
      <c r="B32" s="66"/>
      <c r="C32" s="66"/>
      <c r="D32" s="66"/>
      <c r="E32" s="66"/>
      <c r="F32" s="66"/>
      <c r="G32" s="66"/>
      <c r="H32" s="66"/>
      <c r="I32" s="66"/>
      <c r="J32" s="66"/>
      <c r="K32" s="66"/>
      <c r="L32" s="66"/>
      <c r="M32" s="66"/>
      <c r="N32" s="67"/>
      <c r="O32" s="81" t="s">
        <v>15</v>
      </c>
      <c r="P32" s="107">
        <f>VLOOKUP($O$27,$T$36:$AF$45,5,0)</f>
        <v>55574998.288399994</v>
      </c>
      <c r="Q32" s="108">
        <f>VLOOKUP(O27,T36:AK45,17,0)</f>
        <v>35678026.421600111</v>
      </c>
      <c r="R32" s="66"/>
      <c r="S32" s="66"/>
      <c r="T32" s="66"/>
      <c r="U32" s="66"/>
      <c r="V32" s="66"/>
      <c r="W32" s="66"/>
      <c r="X32" s="66"/>
      <c r="Y32" s="66"/>
      <c r="Z32" s="66"/>
      <c r="AA32" s="66"/>
      <c r="AB32" s="66"/>
      <c r="AC32" s="66"/>
      <c r="AD32" s="66"/>
      <c r="AE32" s="66"/>
      <c r="AF32" s="66"/>
      <c r="AG32" s="66"/>
      <c r="AH32" s="66"/>
      <c r="AI32" s="66"/>
      <c r="AJ32" s="66"/>
      <c r="AK32" s="66"/>
      <c r="AL32" s="66"/>
      <c r="AM32" s="66"/>
    </row>
    <row r="33" spans="1:39" x14ac:dyDescent="0.35">
      <c r="A33" s="66"/>
      <c r="B33" s="66"/>
      <c r="C33" s="66"/>
      <c r="D33" s="66"/>
      <c r="E33" s="66"/>
      <c r="F33" s="66"/>
      <c r="G33" s="66"/>
      <c r="H33" s="66"/>
      <c r="I33" s="66"/>
      <c r="J33" s="66"/>
      <c r="K33" s="66"/>
      <c r="L33" s="66"/>
      <c r="M33" s="66"/>
      <c r="N33" s="67"/>
      <c r="O33" s="81" t="s">
        <v>16</v>
      </c>
      <c r="P33" s="107">
        <f>VLOOKUP($O$27,$T$36:$AF$45,6,0)</f>
        <v>39921671.090000004</v>
      </c>
      <c r="Q33" s="108">
        <f>VLOOKUP(O27,T36:AK45,18,0)</f>
        <v>29247273.790399849</v>
      </c>
      <c r="R33" s="66"/>
      <c r="S33" s="66"/>
      <c r="T33" s="86" t="s">
        <v>32</v>
      </c>
      <c r="U33" s="86" t="s">
        <v>56</v>
      </c>
      <c r="V33" s="66"/>
      <c r="W33" s="66"/>
      <c r="X33" s="66"/>
      <c r="Y33" s="66"/>
      <c r="Z33" s="66"/>
      <c r="AA33" s="66"/>
      <c r="AB33" s="66"/>
      <c r="AC33" s="66"/>
      <c r="AD33" s="66"/>
      <c r="AE33" s="66"/>
      <c r="AF33" s="66"/>
      <c r="AG33" s="66"/>
      <c r="AH33" s="66"/>
      <c r="AI33" s="66"/>
      <c r="AJ33" s="66"/>
      <c r="AK33" s="66"/>
      <c r="AL33" s="66"/>
      <c r="AM33" s="66"/>
    </row>
    <row r="34" spans="1:39" ht="18" thickBot="1" x14ac:dyDescent="0.4">
      <c r="A34" s="110" t="s">
        <v>42</v>
      </c>
      <c r="B34" s="110">
        <v>2022</v>
      </c>
      <c r="C34" s="66"/>
      <c r="D34" s="66"/>
      <c r="E34" s="66"/>
      <c r="F34" s="66"/>
      <c r="G34" s="66"/>
      <c r="H34" s="66"/>
      <c r="I34" s="66"/>
      <c r="J34" s="66"/>
      <c r="K34" s="66"/>
      <c r="L34" s="66"/>
      <c r="M34" s="66"/>
      <c r="N34" s="67"/>
      <c r="O34" s="81" t="s">
        <v>17</v>
      </c>
      <c r="P34" s="107">
        <f>VLOOKUP($O$27,$T$36:$AF$45,7,0)</f>
        <v>46512449.58679992</v>
      </c>
      <c r="Q34" s="108"/>
      <c r="R34" s="66"/>
      <c r="S34" s="66"/>
      <c r="T34" s="66"/>
      <c r="U34" s="66">
        <v>2021</v>
      </c>
      <c r="V34" s="66"/>
      <c r="W34" s="66"/>
      <c r="X34" s="66"/>
      <c r="Y34" s="66"/>
      <c r="Z34" s="66"/>
      <c r="AA34" s="66"/>
      <c r="AB34" s="66"/>
      <c r="AC34" s="66"/>
      <c r="AD34" s="66"/>
      <c r="AE34" s="66"/>
      <c r="AF34" s="66"/>
      <c r="AG34" s="66">
        <v>2022</v>
      </c>
      <c r="AH34" s="66"/>
      <c r="AI34" s="66"/>
      <c r="AJ34" s="66"/>
      <c r="AK34" s="66"/>
      <c r="AL34" s="66"/>
      <c r="AM34" s="66"/>
    </row>
    <row r="35" spans="1:39" ht="18" thickBot="1" x14ac:dyDescent="0.4">
      <c r="A35" s="111" t="s">
        <v>40</v>
      </c>
      <c r="B35" s="112" t="s">
        <v>41</v>
      </c>
      <c r="C35" s="66"/>
      <c r="D35" s="11" t="s">
        <v>65</v>
      </c>
      <c r="E35" s="12"/>
      <c r="F35" s="66"/>
      <c r="G35" s="66"/>
      <c r="H35" s="66"/>
      <c r="I35" s="66"/>
      <c r="J35" s="66"/>
      <c r="K35" s="66"/>
      <c r="L35" s="66"/>
      <c r="M35" s="66"/>
      <c r="N35" s="67"/>
      <c r="O35" s="81" t="s">
        <v>18</v>
      </c>
      <c r="P35" s="107">
        <f>VLOOKUP($O$27,$T$36:$AF$45,8,0)</f>
        <v>55562816.138000354</v>
      </c>
      <c r="Q35" s="108"/>
      <c r="R35" s="66"/>
      <c r="S35" s="66"/>
      <c r="T35" s="86" t="s">
        <v>2</v>
      </c>
      <c r="U35" s="66" t="s">
        <v>12</v>
      </c>
      <c r="V35" s="66" t="s">
        <v>13</v>
      </c>
      <c r="W35" s="66" t="s">
        <v>14</v>
      </c>
      <c r="X35" s="66" t="s">
        <v>15</v>
      </c>
      <c r="Y35" s="66" t="s">
        <v>16</v>
      </c>
      <c r="Z35" s="66" t="s">
        <v>17</v>
      </c>
      <c r="AA35" s="66" t="s">
        <v>18</v>
      </c>
      <c r="AB35" s="66" t="s">
        <v>19</v>
      </c>
      <c r="AC35" s="66" t="s">
        <v>20</v>
      </c>
      <c r="AD35" s="66" t="s">
        <v>21</v>
      </c>
      <c r="AE35" s="66" t="s">
        <v>22</v>
      </c>
      <c r="AF35" s="66" t="s">
        <v>23</v>
      </c>
      <c r="AG35" s="66" t="s">
        <v>12</v>
      </c>
      <c r="AH35" s="66" t="s">
        <v>13</v>
      </c>
      <c r="AI35" s="66" t="s">
        <v>14</v>
      </c>
      <c r="AJ35" s="66" t="s">
        <v>15</v>
      </c>
      <c r="AK35" s="66" t="s">
        <v>16</v>
      </c>
      <c r="AL35" s="66"/>
      <c r="AM35" s="66"/>
    </row>
    <row r="36" spans="1:39" x14ac:dyDescent="0.35">
      <c r="A36" s="113" t="s">
        <v>31</v>
      </c>
      <c r="B36" s="114">
        <v>2.066101595443039E-2</v>
      </c>
      <c r="C36" s="66"/>
      <c r="D36" s="9" t="s">
        <v>44</v>
      </c>
      <c r="E36" s="10">
        <v>59446610.075207889</v>
      </c>
      <c r="F36" s="66"/>
      <c r="G36" s="66"/>
      <c r="H36" s="66"/>
      <c r="I36" s="66"/>
      <c r="J36" s="66"/>
      <c r="K36" s="66"/>
      <c r="L36" s="66"/>
      <c r="M36" s="66"/>
      <c r="N36" s="67"/>
      <c r="O36" s="81" t="s">
        <v>19</v>
      </c>
      <c r="P36" s="107">
        <f>VLOOKUP($O$27,$T$36:$AF$45,9,0)</f>
        <v>77227044.683213711</v>
      </c>
      <c r="Q36" s="108"/>
      <c r="R36" s="66"/>
      <c r="S36" s="66"/>
      <c r="T36" s="88" t="s">
        <v>7</v>
      </c>
      <c r="U36" s="143">
        <v>54001949.669999994</v>
      </c>
      <c r="V36" s="143">
        <v>49598672.521200404</v>
      </c>
      <c r="W36" s="143">
        <v>32473063.4764014</v>
      </c>
      <c r="X36" s="143">
        <v>33188502.409999989</v>
      </c>
      <c r="Y36" s="143">
        <v>25582819.640000004</v>
      </c>
      <c r="Z36" s="143">
        <v>27224675.702000048</v>
      </c>
      <c r="AA36" s="143">
        <v>33652942.560000345</v>
      </c>
      <c r="AB36" s="143">
        <v>45396041.970401764</v>
      </c>
      <c r="AC36" s="143">
        <v>31847414.59239994</v>
      </c>
      <c r="AD36" s="143">
        <v>27788628.49199912</v>
      </c>
      <c r="AE36" s="143">
        <v>26330811.707600646</v>
      </c>
      <c r="AF36" s="143">
        <v>29797776.220000148</v>
      </c>
      <c r="AG36" s="143">
        <v>51801996.096399441</v>
      </c>
      <c r="AH36" s="143">
        <v>27174015.429199684</v>
      </c>
      <c r="AI36" s="143">
        <v>24774697.164399713</v>
      </c>
      <c r="AJ36" s="143">
        <v>20493928.062400043</v>
      </c>
      <c r="AK36" s="143">
        <v>15155257.64199977</v>
      </c>
      <c r="AL36" s="66"/>
      <c r="AM36" s="66"/>
    </row>
    <row r="37" spans="1:39" ht="18" thickBot="1" x14ac:dyDescent="0.4">
      <c r="A37" s="115" t="s">
        <v>48</v>
      </c>
      <c r="B37" s="116">
        <v>0.51841155137574246</v>
      </c>
      <c r="C37" s="66"/>
      <c r="D37" s="7" t="s">
        <v>66</v>
      </c>
      <c r="E37" s="8">
        <v>0.33721873863106727</v>
      </c>
      <c r="F37" s="66"/>
      <c r="G37" s="66"/>
      <c r="H37" s="66"/>
      <c r="I37" s="66"/>
      <c r="J37" s="66"/>
      <c r="K37" s="66"/>
      <c r="L37" s="66"/>
      <c r="M37" s="66"/>
      <c r="N37" s="67"/>
      <c r="O37" s="81" t="s">
        <v>20</v>
      </c>
      <c r="P37" s="107">
        <f>VLOOKUP($O$27,$T$36:$AF$45,10,0)</f>
        <v>52928219.060400069</v>
      </c>
      <c r="Q37" s="108"/>
      <c r="R37" s="66"/>
      <c r="S37" s="66"/>
      <c r="T37" s="88" t="s">
        <v>48</v>
      </c>
      <c r="U37" s="143">
        <v>582597.27760000003</v>
      </c>
      <c r="V37" s="143">
        <v>756640.77399999998</v>
      </c>
      <c r="W37" s="143">
        <v>833992.36760000011</v>
      </c>
      <c r="X37" s="143">
        <v>1117497.44</v>
      </c>
      <c r="Y37" s="143">
        <v>409152.49</v>
      </c>
      <c r="Z37" s="143">
        <v>908388.87759999943</v>
      </c>
      <c r="AA37" s="143">
        <v>837164.48319999827</v>
      </c>
      <c r="AB37" s="143">
        <v>941174.94359999802</v>
      </c>
      <c r="AC37" s="143">
        <v>973402.1332000012</v>
      </c>
      <c r="AD37" s="143">
        <v>589207.74199999997</v>
      </c>
      <c r="AE37" s="143">
        <v>605130.07759999973</v>
      </c>
      <c r="AF37" s="143">
        <v>759831.08640000038</v>
      </c>
      <c r="AG37" s="143">
        <v>1562010.3507999948</v>
      </c>
      <c r="AH37" s="143">
        <v>1017245.7135999969</v>
      </c>
      <c r="AI37" s="143">
        <v>794246.95399999688</v>
      </c>
      <c r="AJ37" s="143">
        <v>1343869.3960000246</v>
      </c>
      <c r="AK37" s="143">
        <v>452187.70839999756</v>
      </c>
      <c r="AL37" s="66"/>
      <c r="AM37" s="66"/>
    </row>
    <row r="38" spans="1:39" x14ac:dyDescent="0.35">
      <c r="A38" s="115" t="s">
        <v>49</v>
      </c>
      <c r="B38" s="116">
        <v>0.58813859043926509</v>
      </c>
      <c r="C38" s="66"/>
      <c r="D38" s="66"/>
      <c r="E38" s="66"/>
      <c r="F38" s="66"/>
      <c r="G38" s="66"/>
      <c r="H38" s="66"/>
      <c r="I38" s="66"/>
      <c r="J38" s="66"/>
      <c r="K38" s="66"/>
      <c r="L38" s="66"/>
      <c r="M38" s="66"/>
      <c r="N38" s="67"/>
      <c r="O38" s="81" t="s">
        <v>21</v>
      </c>
      <c r="P38" s="107">
        <f>VLOOKUP($O$27,$T$36:$AF$45,11,0)</f>
        <v>47270019.940799072</v>
      </c>
      <c r="Q38" s="108"/>
      <c r="R38" s="66"/>
      <c r="S38" s="66"/>
      <c r="T38" s="88" t="s">
        <v>49</v>
      </c>
      <c r="U38" s="143">
        <v>1068976.98</v>
      </c>
      <c r="V38" s="143">
        <v>1325668.2000000002</v>
      </c>
      <c r="W38" s="143">
        <v>1259503.25</v>
      </c>
      <c r="X38" s="143">
        <v>1632366.1399999997</v>
      </c>
      <c r="Y38" s="143">
        <v>892042.15</v>
      </c>
      <c r="Z38" s="143">
        <v>1267556.6151999997</v>
      </c>
      <c r="AA38" s="143">
        <v>1537607.132399997</v>
      </c>
      <c r="AB38" s="143">
        <v>1973349.6599999969</v>
      </c>
      <c r="AC38" s="143">
        <v>1060542.8759999957</v>
      </c>
      <c r="AD38" s="143">
        <v>1253440.6099999964</v>
      </c>
      <c r="AE38" s="143">
        <v>1357952.8747999859</v>
      </c>
      <c r="AF38" s="143">
        <v>1818173.8963999981</v>
      </c>
      <c r="AG38" s="143">
        <v>2181525.3500231747</v>
      </c>
      <c r="AH38" s="143">
        <v>1863307.5243999839</v>
      </c>
      <c r="AI38" s="143">
        <v>1203637.6919999933</v>
      </c>
      <c r="AJ38" s="143">
        <v>1062832.6696000062</v>
      </c>
      <c r="AK38" s="143">
        <v>483607.47999999463</v>
      </c>
      <c r="AL38" s="66"/>
      <c r="AM38" s="66"/>
    </row>
    <row r="39" spans="1:39" x14ac:dyDescent="0.35">
      <c r="A39" s="115" t="s">
        <v>50</v>
      </c>
      <c r="B39" s="116">
        <v>0.74639151466607878</v>
      </c>
      <c r="C39" s="66"/>
      <c r="D39" s="66"/>
      <c r="E39" s="66"/>
      <c r="F39" s="66"/>
      <c r="G39" s="66"/>
      <c r="H39" s="66"/>
      <c r="I39" s="66"/>
      <c r="J39" s="66"/>
      <c r="K39" s="66"/>
      <c r="L39" s="66"/>
      <c r="M39" s="66"/>
      <c r="N39" s="67"/>
      <c r="O39" s="81" t="s">
        <v>22</v>
      </c>
      <c r="P39" s="107">
        <f>VLOOKUP($O$27,$T$36:$AF$45,12,0)</f>
        <v>51178222.769600704</v>
      </c>
      <c r="Q39" s="108"/>
      <c r="R39" s="66"/>
      <c r="S39" s="66"/>
      <c r="T39" s="88" t="s">
        <v>53</v>
      </c>
      <c r="U39" s="143">
        <v>3022833.34</v>
      </c>
      <c r="V39" s="143">
        <v>2395045.04</v>
      </c>
      <c r="W39" s="143">
        <v>1275641.56</v>
      </c>
      <c r="X39" s="143">
        <v>1367285.04</v>
      </c>
      <c r="Y39" s="143">
        <v>1014758.72</v>
      </c>
      <c r="Z39" s="143">
        <v>962228.12000000186</v>
      </c>
      <c r="AA39" s="143">
        <v>1602686.1599999971</v>
      </c>
      <c r="AB39" s="143">
        <v>3198175.6800116007</v>
      </c>
      <c r="AC39" s="143">
        <v>2365474.3200000012</v>
      </c>
      <c r="AD39" s="143">
        <v>1685203.9200000055</v>
      </c>
      <c r="AE39" s="143">
        <v>2300892.4799999916</v>
      </c>
      <c r="AF39" s="143">
        <v>5404624.4399999995</v>
      </c>
      <c r="AG39" s="143">
        <v>6585878.6659295838</v>
      </c>
      <c r="AH39" s="143">
        <v>3828324.8000000063</v>
      </c>
      <c r="AI39" s="143">
        <v>2270751.040000001</v>
      </c>
      <c r="AJ39" s="143">
        <v>1430125.7199999946</v>
      </c>
      <c r="AK39" s="143">
        <v>1017176.1599999878</v>
      </c>
      <c r="AL39" s="66"/>
      <c r="AM39" s="66"/>
    </row>
    <row r="40" spans="1:39" x14ac:dyDescent="0.35">
      <c r="A40" s="115" t="s">
        <v>55</v>
      </c>
      <c r="B40" s="116">
        <v>0.42483932111920114</v>
      </c>
      <c r="C40" s="66"/>
      <c r="D40" s="66"/>
      <c r="E40" s="66"/>
      <c r="F40" s="66"/>
      <c r="G40" s="66"/>
      <c r="H40" s="66"/>
      <c r="I40" s="66"/>
      <c r="J40" s="66"/>
      <c r="K40" s="66"/>
      <c r="L40" s="66"/>
      <c r="M40" s="66"/>
      <c r="N40" s="67"/>
      <c r="O40" s="81" t="s">
        <v>23</v>
      </c>
      <c r="P40" s="107">
        <f>VLOOKUP($O$27,$T$36:$AF$45,13,0)</f>
        <v>73056764.236399889</v>
      </c>
      <c r="Q40" s="108"/>
      <c r="R40" s="66"/>
      <c r="S40" s="66"/>
      <c r="T40" s="88" t="s">
        <v>51</v>
      </c>
      <c r="U40" s="143">
        <v>4951894.8</v>
      </c>
      <c r="V40" s="143">
        <v>4979725.5</v>
      </c>
      <c r="W40" s="143">
        <v>2794013.1299999962</v>
      </c>
      <c r="X40" s="143">
        <v>3382593.33</v>
      </c>
      <c r="Y40" s="143">
        <v>2794722.3000000003</v>
      </c>
      <c r="Z40" s="143">
        <v>3513042.6231999462</v>
      </c>
      <c r="AA40" s="143">
        <v>4749480.8000000603</v>
      </c>
      <c r="AB40" s="143">
        <v>8969326.9092003237</v>
      </c>
      <c r="AC40" s="143">
        <v>5919142.1616001697</v>
      </c>
      <c r="AD40" s="143">
        <v>3986355.6367999613</v>
      </c>
      <c r="AE40" s="143">
        <v>3644992.553600003</v>
      </c>
      <c r="AF40" s="143">
        <v>4631116.9287999477</v>
      </c>
      <c r="AG40" s="143">
        <v>10453006.604400035</v>
      </c>
      <c r="AH40" s="143">
        <v>4324806.5400000829</v>
      </c>
      <c r="AI40" s="143">
        <v>3139176.9200001056</v>
      </c>
      <c r="AJ40" s="143">
        <v>3037284.2600001059</v>
      </c>
      <c r="AK40" s="143">
        <v>2774338.3600001088</v>
      </c>
      <c r="AL40" s="66"/>
      <c r="AM40" s="66"/>
    </row>
    <row r="41" spans="1:39" ht="18" thickBot="1" x14ac:dyDescent="0.4">
      <c r="A41" s="115" t="s">
        <v>51</v>
      </c>
      <c r="B41" s="116">
        <v>0.7092786261025279</v>
      </c>
      <c r="C41" s="66"/>
      <c r="D41" s="66"/>
      <c r="E41" s="66"/>
      <c r="F41" s="66"/>
      <c r="G41" s="66"/>
      <c r="H41" s="66"/>
      <c r="I41" s="66"/>
      <c r="J41" s="66"/>
      <c r="K41" s="66"/>
      <c r="L41" s="66"/>
      <c r="M41" s="66"/>
      <c r="N41" s="67"/>
      <c r="O41" s="81"/>
      <c r="P41" s="66"/>
      <c r="Q41" s="83"/>
      <c r="R41" s="66"/>
      <c r="S41" s="66"/>
      <c r="T41" s="88" t="s">
        <v>31</v>
      </c>
      <c r="U41" s="143">
        <v>440923.54959999997</v>
      </c>
      <c r="V41" s="143">
        <v>624866.22</v>
      </c>
      <c r="W41" s="143">
        <v>640941</v>
      </c>
      <c r="X41" s="143">
        <v>756044.06839999999</v>
      </c>
      <c r="Y41" s="143">
        <v>326973.91000000003</v>
      </c>
      <c r="Z41" s="143">
        <v>628969.85240000277</v>
      </c>
      <c r="AA41" s="143">
        <v>630282.34600000107</v>
      </c>
      <c r="AB41" s="143">
        <v>728047.78400000394</v>
      </c>
      <c r="AC41" s="143">
        <v>622070.55520000262</v>
      </c>
      <c r="AD41" s="143">
        <v>532929.72000000183</v>
      </c>
      <c r="AE41" s="143">
        <v>493967.44000000338</v>
      </c>
      <c r="AF41" s="143">
        <v>494537.23200000171</v>
      </c>
      <c r="AG41" s="143">
        <v>515532.91000000096</v>
      </c>
      <c r="AH41" s="143">
        <v>514785.94840000034</v>
      </c>
      <c r="AI41" s="143">
        <v>546816.52959999978</v>
      </c>
      <c r="AJ41" s="143">
        <v>617853.64200000511</v>
      </c>
      <c r="AK41" s="143">
        <v>281705.99999999994</v>
      </c>
      <c r="AL41" s="66"/>
      <c r="AM41" s="66"/>
    </row>
    <row r="42" spans="1:39" ht="18" thickBot="1" x14ac:dyDescent="0.4">
      <c r="A42" s="115" t="s">
        <v>52</v>
      </c>
      <c r="B42" s="116">
        <v>0.52849636256492205</v>
      </c>
      <c r="C42" s="66"/>
      <c r="D42" s="66"/>
      <c r="E42" s="66"/>
      <c r="F42" s="66"/>
      <c r="G42" s="66"/>
      <c r="H42" s="66"/>
      <c r="I42" s="66"/>
      <c r="J42" s="66"/>
      <c r="K42" s="66"/>
      <c r="L42" s="66"/>
      <c r="M42" s="66"/>
      <c r="N42" s="67"/>
      <c r="O42" s="139" t="s">
        <v>68</v>
      </c>
      <c r="P42" s="140"/>
      <c r="Q42" s="141"/>
      <c r="R42" s="66"/>
      <c r="S42" s="66"/>
      <c r="T42" s="88" t="s">
        <v>52</v>
      </c>
      <c r="U42" s="143">
        <v>10362372.18</v>
      </c>
      <c r="V42" s="143">
        <v>11164960.629999999</v>
      </c>
      <c r="W42" s="143">
        <v>7263450.4399999995</v>
      </c>
      <c r="X42" s="143">
        <v>8325426.1199999992</v>
      </c>
      <c r="Y42" s="143">
        <v>5177461.6400000006</v>
      </c>
      <c r="Z42" s="143">
        <v>5522260.3995999917</v>
      </c>
      <c r="AA42" s="143">
        <v>5092637.8115999969</v>
      </c>
      <c r="AB42" s="143">
        <v>6775623.0575999916</v>
      </c>
      <c r="AC42" s="143">
        <v>4515164.3380000032</v>
      </c>
      <c r="AD42" s="143">
        <v>4870598.9399999985</v>
      </c>
      <c r="AE42" s="143">
        <v>12134009.897600088</v>
      </c>
      <c r="AF42" s="143">
        <v>13798602.601199994</v>
      </c>
      <c r="AG42" s="143">
        <v>9724529.6100000087</v>
      </c>
      <c r="AH42" s="143">
        <v>7891595.918400011</v>
      </c>
      <c r="AI42" s="143">
        <v>4726182.6644000113</v>
      </c>
      <c r="AJ42" s="143">
        <v>3414983.9488000125</v>
      </c>
      <c r="AK42" s="143">
        <v>896398.12000000849</v>
      </c>
      <c r="AL42" s="66"/>
      <c r="AM42" s="66"/>
    </row>
    <row r="43" spans="1:39" x14ac:dyDescent="0.35">
      <c r="A43" s="115" t="s">
        <v>53</v>
      </c>
      <c r="B43" s="116">
        <v>0.53656420237492919</v>
      </c>
      <c r="C43" s="66"/>
      <c r="D43" s="66"/>
      <c r="E43" s="66"/>
      <c r="F43" s="66"/>
      <c r="G43" s="66"/>
      <c r="H43" s="66"/>
      <c r="I43" s="66"/>
      <c r="J43" s="66"/>
      <c r="K43" s="66"/>
      <c r="L43" s="66"/>
      <c r="M43" s="66"/>
      <c r="N43" s="67"/>
      <c r="O43" s="136" t="s">
        <v>35</v>
      </c>
      <c r="P43" s="137" t="str">
        <f>IF(P44="México","País","Estado")</f>
        <v>País</v>
      </c>
      <c r="Q43" s="138" t="s">
        <v>24</v>
      </c>
      <c r="R43" s="66"/>
      <c r="S43" s="66"/>
      <c r="T43" s="88" t="s">
        <v>55</v>
      </c>
      <c r="U43" s="143">
        <v>1751812.0299999998</v>
      </c>
      <c r="V43" s="143">
        <v>2246447.06</v>
      </c>
      <c r="W43" s="143">
        <v>1577460.7</v>
      </c>
      <c r="X43" s="143">
        <v>2036757.4899999998</v>
      </c>
      <c r="Y43" s="143">
        <v>948598.73999999987</v>
      </c>
      <c r="Z43" s="143">
        <v>1647683.801200002</v>
      </c>
      <c r="AA43" s="143">
        <v>1557265.6871999919</v>
      </c>
      <c r="AB43" s="143">
        <v>1769596.2051999886</v>
      </c>
      <c r="AC43" s="143">
        <v>1317712.103600004</v>
      </c>
      <c r="AD43" s="143">
        <v>1355692.4560000161</v>
      </c>
      <c r="AE43" s="143">
        <v>1195628.4372000056</v>
      </c>
      <c r="AF43" s="143">
        <v>1492184.3164000001</v>
      </c>
      <c r="AG43" s="143">
        <v>2508115.6700000041</v>
      </c>
      <c r="AH43" s="143">
        <v>2028083.7611999991</v>
      </c>
      <c r="AI43" s="143">
        <v>1711111.2555999947</v>
      </c>
      <c r="AJ43" s="143">
        <v>1667247.143200017</v>
      </c>
      <c r="AK43" s="143">
        <v>1025793.8115999928</v>
      </c>
      <c r="AL43" s="66"/>
      <c r="AM43" s="66"/>
    </row>
    <row r="44" spans="1:39" ht="18" thickBot="1" x14ac:dyDescent="0.4">
      <c r="A44" s="115" t="s">
        <v>7</v>
      </c>
      <c r="B44" s="116">
        <v>0.33721873863106727</v>
      </c>
      <c r="C44" s="66"/>
      <c r="D44" s="66"/>
      <c r="E44" s="66"/>
      <c r="F44" s="66"/>
      <c r="G44" s="66"/>
      <c r="H44" s="66"/>
      <c r="I44" s="66"/>
      <c r="J44" s="66"/>
      <c r="K44" s="66"/>
      <c r="L44" s="66"/>
      <c r="M44" s="66"/>
      <c r="N44" s="67"/>
      <c r="O44" s="24" t="str">
        <f>O27</f>
        <v>Otro</v>
      </c>
      <c r="P44" s="25" t="str">
        <f>VLOOKUP(O44,Datos!T3:U12,2,0)</f>
        <v>México</v>
      </c>
      <c r="Q44" s="26">
        <f>Q27</f>
        <v>257797574.72635159</v>
      </c>
      <c r="R44" s="66"/>
      <c r="S44" s="66"/>
      <c r="T44" s="88" t="s">
        <v>50</v>
      </c>
      <c r="U44" s="143">
        <v>3338481.0200000005</v>
      </c>
      <c r="V44" s="143">
        <v>3955162.9899999998</v>
      </c>
      <c r="W44" s="143">
        <v>3469848.1299999994</v>
      </c>
      <c r="X44" s="143">
        <v>3768526.25</v>
      </c>
      <c r="Y44" s="143">
        <v>2775141.5</v>
      </c>
      <c r="Z44" s="143">
        <v>4837643.5955999307</v>
      </c>
      <c r="AA44" s="143">
        <v>5902749.1575999577</v>
      </c>
      <c r="AB44" s="143">
        <v>7475708.4732000362</v>
      </c>
      <c r="AC44" s="143">
        <v>4307295.9803999458</v>
      </c>
      <c r="AD44" s="143">
        <v>5207962.4239999671</v>
      </c>
      <c r="AE44" s="143">
        <v>3114837.3011999805</v>
      </c>
      <c r="AF44" s="143">
        <v>14859917.515199805</v>
      </c>
      <c r="AG44" s="143">
        <v>9391953.5904000178</v>
      </c>
      <c r="AH44" s="143">
        <v>7019082.2103999266</v>
      </c>
      <c r="AI44" s="143">
        <v>3319857.2207999369</v>
      </c>
      <c r="AJ44" s="143">
        <v>2561688.0995999016</v>
      </c>
      <c r="AK44" s="143">
        <v>1160808.5083999911</v>
      </c>
      <c r="AL44" s="66"/>
      <c r="AM44" s="66"/>
    </row>
    <row r="45" spans="1:39" ht="18" thickBot="1" x14ac:dyDescent="0.4">
      <c r="A45" s="117" t="s">
        <v>78</v>
      </c>
      <c r="B45" s="118">
        <v>0.22017079971761822</v>
      </c>
      <c r="C45" s="66"/>
      <c r="D45" s="66"/>
      <c r="E45" s="66"/>
      <c r="F45" s="66"/>
      <c r="G45" s="66"/>
      <c r="H45" s="66"/>
      <c r="I45" s="66"/>
      <c r="J45" s="66"/>
      <c r="K45" s="66"/>
      <c r="L45" s="66"/>
      <c r="M45" s="66"/>
      <c r="N45" s="102"/>
      <c r="O45" s="66"/>
      <c r="P45" s="66"/>
      <c r="Q45" s="66"/>
      <c r="R45" s="66"/>
      <c r="S45" s="66"/>
      <c r="T45" s="88" t="s">
        <v>78</v>
      </c>
      <c r="U45" s="143">
        <v>79521840.847199991</v>
      </c>
      <c r="V45" s="143">
        <v>77047188.935200393</v>
      </c>
      <c r="W45" s="143">
        <v>51587914.054001391</v>
      </c>
      <c r="X45" s="143">
        <v>55574998.288399994</v>
      </c>
      <c r="Y45" s="143">
        <v>39921671.090000004</v>
      </c>
      <c r="Z45" s="143">
        <v>46512449.58679992</v>
      </c>
      <c r="AA45" s="143">
        <v>55562816.138000354</v>
      </c>
      <c r="AB45" s="143">
        <v>77227044.683213711</v>
      </c>
      <c r="AC45" s="143">
        <v>52928219.060400069</v>
      </c>
      <c r="AD45" s="143">
        <v>47270019.940799072</v>
      </c>
      <c r="AE45" s="143">
        <v>51178222.769600704</v>
      </c>
      <c r="AF45" s="143">
        <v>73056764.236399889</v>
      </c>
      <c r="AG45" s="143">
        <v>94724549.227952212</v>
      </c>
      <c r="AH45" s="143">
        <v>55661247.845599689</v>
      </c>
      <c r="AI45" s="143">
        <v>42486477.44079975</v>
      </c>
      <c r="AJ45" s="143">
        <v>35678026.421600111</v>
      </c>
      <c r="AK45" s="143">
        <v>29247273.790399849</v>
      </c>
      <c r="AL45" s="66"/>
      <c r="AM45" s="66"/>
    </row>
    <row r="46" spans="1:39" ht="18" thickBot="1" x14ac:dyDescent="0.4">
      <c r="A46" s="66"/>
      <c r="B46" s="66"/>
      <c r="C46" s="66"/>
      <c r="D46" s="66"/>
      <c r="E46" s="66"/>
      <c r="F46" s="66"/>
      <c r="G46" s="66"/>
      <c r="H46" s="66"/>
      <c r="I46" s="66"/>
      <c r="J46" s="66"/>
      <c r="K46" s="66"/>
      <c r="L46" s="66"/>
      <c r="N46" s="1"/>
    </row>
    <row r="47" spans="1:39" ht="18" thickBot="1" x14ac:dyDescent="0.4">
      <c r="A47" s="119" t="s">
        <v>43</v>
      </c>
      <c r="B47" s="120">
        <v>2022</v>
      </c>
      <c r="C47" s="66"/>
      <c r="D47" s="66"/>
      <c r="E47" s="66"/>
      <c r="F47" s="66"/>
      <c r="G47" s="66"/>
      <c r="H47" s="66"/>
      <c r="I47" s="66"/>
      <c r="J47" s="66"/>
      <c r="K47" s="66"/>
      <c r="L47" s="66"/>
      <c r="N47" s="1"/>
    </row>
    <row r="48" spans="1:39" ht="18" thickBot="1" x14ac:dyDescent="0.4">
      <c r="A48" s="111" t="s">
        <v>40</v>
      </c>
      <c r="B48" s="112" t="s">
        <v>41</v>
      </c>
      <c r="C48" s="66"/>
      <c r="D48" s="66"/>
      <c r="E48" s="66"/>
      <c r="F48" s="66"/>
      <c r="G48" s="66"/>
      <c r="H48" s="66"/>
      <c r="I48" s="66"/>
      <c r="J48" s="66"/>
      <c r="K48" s="66"/>
      <c r="L48" s="66"/>
      <c r="N48" s="1"/>
      <c r="R48" s="3"/>
      <c r="S48" s="3"/>
    </row>
    <row r="49" spans="1:14" x14ac:dyDescent="0.35">
      <c r="A49" s="121" t="s">
        <v>31</v>
      </c>
      <c r="B49" s="122">
        <v>54780.9647322651</v>
      </c>
      <c r="C49" s="66"/>
      <c r="D49" s="66"/>
      <c r="E49" s="66"/>
      <c r="F49" s="66"/>
      <c r="G49" s="66"/>
      <c r="H49" s="66"/>
      <c r="I49" s="66"/>
      <c r="J49" s="66"/>
      <c r="K49" s="66"/>
      <c r="L49" s="66"/>
      <c r="N49" s="1"/>
    </row>
    <row r="50" spans="1:14" x14ac:dyDescent="0.35">
      <c r="A50" s="115" t="s">
        <v>48</v>
      </c>
      <c r="B50" s="123">
        <v>3252432.6843767595</v>
      </c>
      <c r="C50" s="66"/>
      <c r="D50" s="66"/>
      <c r="E50" s="66"/>
      <c r="F50" s="66"/>
      <c r="G50" s="66"/>
      <c r="H50" s="66"/>
      <c r="I50" s="66"/>
      <c r="J50" s="66"/>
      <c r="K50" s="66"/>
      <c r="L50" s="66"/>
      <c r="N50" s="1"/>
    </row>
    <row r="51" spans="1:14" x14ac:dyDescent="0.35">
      <c r="A51" s="115" t="s">
        <v>49</v>
      </c>
      <c r="B51" s="123">
        <v>5001554.0153587032</v>
      </c>
      <c r="C51" s="66"/>
      <c r="D51" s="66"/>
      <c r="E51" s="66"/>
      <c r="F51" s="66"/>
      <c r="G51" s="66"/>
      <c r="H51" s="66"/>
      <c r="I51" s="66"/>
      <c r="J51" s="66"/>
      <c r="K51" s="66"/>
      <c r="L51" s="66"/>
      <c r="N51" s="1"/>
    </row>
    <row r="52" spans="1:14" x14ac:dyDescent="0.35">
      <c r="A52" s="115" t="s">
        <v>50</v>
      </c>
      <c r="B52" s="124">
        <v>23658085.390533768</v>
      </c>
      <c r="C52" s="66"/>
      <c r="D52" s="66"/>
      <c r="E52" s="66"/>
      <c r="F52" s="66"/>
      <c r="G52" s="66"/>
      <c r="H52" s="66"/>
      <c r="I52" s="66"/>
      <c r="J52" s="66"/>
      <c r="K52" s="66"/>
      <c r="L52" s="66"/>
      <c r="N52" s="1"/>
    </row>
    <row r="53" spans="1:14" x14ac:dyDescent="0.35">
      <c r="A53" s="115" t="s">
        <v>55</v>
      </c>
      <c r="B53" s="123">
        <v>3343503.2391128028</v>
      </c>
      <c r="C53" s="66"/>
      <c r="D53" s="66"/>
      <c r="E53" s="66"/>
      <c r="F53" s="66"/>
      <c r="G53" s="66"/>
      <c r="H53" s="66"/>
      <c r="I53" s="66"/>
      <c r="J53" s="66"/>
      <c r="K53" s="66"/>
      <c r="L53" s="66"/>
      <c r="N53" s="1"/>
    </row>
    <row r="54" spans="1:14" x14ac:dyDescent="0.35">
      <c r="A54" s="115" t="s">
        <v>51</v>
      </c>
      <c r="B54" s="123">
        <v>22228728.870427825</v>
      </c>
      <c r="C54" s="66"/>
      <c r="D54" s="66"/>
      <c r="E54" s="66"/>
      <c r="F54" s="66"/>
      <c r="G54" s="66"/>
      <c r="H54" s="66"/>
      <c r="I54" s="66"/>
      <c r="J54" s="66"/>
      <c r="K54" s="66"/>
      <c r="L54" s="66"/>
      <c r="N54" s="1"/>
    </row>
    <row r="55" spans="1:14" x14ac:dyDescent="0.35">
      <c r="A55" s="115" t="s">
        <v>52</v>
      </c>
      <c r="B55" s="123">
        <v>18716056.227163073</v>
      </c>
      <c r="C55" s="66"/>
      <c r="D55" s="66"/>
      <c r="E55" s="66"/>
      <c r="F55" s="66"/>
      <c r="G55" s="66"/>
      <c r="H55" s="66"/>
      <c r="I55" s="66"/>
      <c r="J55" s="66"/>
      <c r="K55" s="66"/>
      <c r="L55" s="66"/>
      <c r="N55" s="1"/>
    </row>
    <row r="56" spans="1:14" x14ac:dyDescent="0.35">
      <c r="A56" s="115" t="s">
        <v>53</v>
      </c>
      <c r="B56" s="123">
        <v>7586935.3141041026</v>
      </c>
      <c r="C56" s="66"/>
      <c r="D56" s="66"/>
      <c r="E56" s="66"/>
      <c r="F56" s="66"/>
      <c r="G56" s="66"/>
      <c r="H56" s="66"/>
      <c r="I56" s="66"/>
      <c r="J56" s="66"/>
      <c r="K56" s="66"/>
      <c r="L56" s="66"/>
      <c r="N56" s="1"/>
    </row>
    <row r="57" spans="1:14" x14ac:dyDescent="0.35">
      <c r="A57" s="115" t="s">
        <v>7</v>
      </c>
      <c r="B57" s="123">
        <v>59446610.075207889</v>
      </c>
      <c r="C57" s="66"/>
      <c r="D57" s="66"/>
      <c r="E57" s="66"/>
      <c r="F57" s="66"/>
      <c r="G57" s="66"/>
      <c r="H57" s="66"/>
      <c r="I57" s="66"/>
      <c r="J57" s="66"/>
      <c r="K57" s="66"/>
      <c r="L57" s="66"/>
      <c r="N57" s="1"/>
    </row>
    <row r="58" spans="1:14" ht="18" thickBot="1" x14ac:dyDescent="0.4">
      <c r="A58" s="117" t="s">
        <v>78</v>
      </c>
      <c r="B58" s="125">
        <v>60839660.285132766</v>
      </c>
      <c r="C58" s="66"/>
      <c r="D58" s="66"/>
      <c r="E58" s="66"/>
      <c r="F58" s="66"/>
      <c r="G58" s="66"/>
      <c r="H58" s="66"/>
      <c r="I58" s="66"/>
      <c r="J58" s="66"/>
      <c r="K58" s="66"/>
      <c r="L58" s="66"/>
      <c r="N58" s="1"/>
    </row>
    <row r="59" spans="1:14" x14ac:dyDescent="0.35">
      <c r="A59" s="66"/>
      <c r="B59" s="66"/>
      <c r="C59" s="66"/>
      <c r="D59" s="66"/>
      <c r="E59" s="66"/>
      <c r="F59" s="66"/>
      <c r="G59" s="66"/>
      <c r="H59" s="66"/>
      <c r="I59" s="66"/>
      <c r="J59" s="66"/>
      <c r="K59" s="66"/>
      <c r="L59" s="66"/>
    </row>
    <row r="60" spans="1:14" x14ac:dyDescent="0.35">
      <c r="A60" s="66"/>
      <c r="B60" s="66"/>
      <c r="C60" s="66"/>
      <c r="D60" s="66"/>
      <c r="E60" s="66"/>
      <c r="F60" s="66"/>
      <c r="G60" s="66"/>
      <c r="H60" s="66"/>
      <c r="I60" s="66"/>
      <c r="J60" s="66"/>
      <c r="K60" s="66"/>
      <c r="L60" s="66"/>
    </row>
    <row r="61" spans="1:14" x14ac:dyDescent="0.35">
      <c r="A61" s="4" t="s">
        <v>43</v>
      </c>
      <c r="B61" s="126">
        <v>91350622.499599993</v>
      </c>
      <c r="C61" s="126">
        <v>-6407910.0752720013</v>
      </c>
      <c r="D61" s="126">
        <v>-11142512.485483244</v>
      </c>
      <c r="E61" s="126">
        <v>-12960539.653712012</v>
      </c>
      <c r="F61" s="127"/>
      <c r="G61" s="66"/>
      <c r="H61" s="66"/>
      <c r="I61" s="66"/>
      <c r="J61" s="66"/>
      <c r="K61" s="66"/>
      <c r="L61" s="66"/>
    </row>
    <row r="62" spans="1:14" ht="18" thickBot="1" x14ac:dyDescent="0.4">
      <c r="A62" s="128" t="s">
        <v>34</v>
      </c>
      <c r="B62" s="129">
        <v>0.64101215348421858</v>
      </c>
      <c r="C62" s="129">
        <v>-0.11503682783524584</v>
      </c>
      <c r="D62" s="129">
        <v>-0.26226020975754255</v>
      </c>
      <c r="E62" s="129">
        <v>-0.36375547852508716</v>
      </c>
      <c r="F62" s="130"/>
      <c r="G62" s="66"/>
      <c r="H62" s="66"/>
      <c r="I62" s="66"/>
      <c r="J62" s="66"/>
      <c r="K62" s="66"/>
      <c r="L62" s="66"/>
    </row>
  </sheetData>
  <pageMargins left="0.7" right="0.7" top="0.75" bottom="0.75" header="0.3" footer="0.3"/>
  <pageSetup paperSize="9" orientation="portrait" r:id="rId4"/>
  <ignoredErrors>
    <ignoredError sqref="P4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0C58-511A-42A3-81C3-A1CF27FD26F3}">
  <sheetPr codeName="Hoja3"/>
  <dimension ref="A1:U1651"/>
  <sheetViews>
    <sheetView zoomScale="85" zoomScaleNormal="85" workbookViewId="0">
      <pane ySplit="2" topLeftCell="A3" activePane="bottomLeft" state="frozen"/>
      <selection pane="bottomLeft" activeCell="E259" sqref="E259"/>
    </sheetView>
  </sheetViews>
  <sheetFormatPr baseColWidth="10" defaultRowHeight="17.25" x14ac:dyDescent="0.35"/>
  <cols>
    <col min="1" max="1" width="5" customWidth="1"/>
    <col min="2" max="2" width="11.25" customWidth="1"/>
    <col min="3" max="3" width="12.125" customWidth="1"/>
    <col min="5" max="5" width="13.625" customWidth="1"/>
    <col min="6" max="6" width="12.75" customWidth="1"/>
    <col min="7" max="7" width="13" customWidth="1"/>
    <col min="8" max="8" width="4.125" customWidth="1"/>
    <col min="12" max="12" width="15.375" customWidth="1"/>
    <col min="13" max="13" width="2.125" customWidth="1"/>
    <col min="15" max="15" width="12.125" customWidth="1"/>
    <col min="17" max="17" width="15.375" customWidth="1"/>
    <col min="21" max="21" width="13.5" customWidth="1"/>
  </cols>
  <sheetData>
    <row r="1" spans="1:21" ht="18" thickBot="1" x14ac:dyDescent="0.4">
      <c r="A1" s="37"/>
      <c r="B1" s="38" t="s">
        <v>33</v>
      </c>
      <c r="C1" s="39"/>
      <c r="D1" s="39"/>
      <c r="E1" s="39"/>
      <c r="F1" s="39"/>
      <c r="G1" s="40"/>
      <c r="H1" s="41"/>
      <c r="I1" s="38" t="s">
        <v>34</v>
      </c>
      <c r="J1" s="39"/>
      <c r="K1" s="39"/>
      <c r="L1" s="40"/>
      <c r="M1" s="41"/>
      <c r="N1" s="38" t="s">
        <v>38</v>
      </c>
      <c r="O1" s="39"/>
      <c r="P1" s="39"/>
      <c r="Q1" s="40"/>
      <c r="R1" s="41"/>
    </row>
    <row r="2" spans="1:21" ht="18" thickBot="1" x14ac:dyDescent="0.4">
      <c r="A2" s="41"/>
      <c r="B2" s="42" t="s">
        <v>25</v>
      </c>
      <c r="C2" s="43" t="s">
        <v>26</v>
      </c>
      <c r="D2" s="43" t="s">
        <v>27</v>
      </c>
      <c r="E2" s="43" t="s">
        <v>28</v>
      </c>
      <c r="F2" s="43" t="s">
        <v>29</v>
      </c>
      <c r="G2" s="44" t="s">
        <v>30</v>
      </c>
      <c r="H2" s="41"/>
      <c r="I2" s="42" t="s">
        <v>25</v>
      </c>
      <c r="J2" s="43" t="s">
        <v>26</v>
      </c>
      <c r="K2" s="43" t="s">
        <v>27</v>
      </c>
      <c r="L2" s="44" t="s">
        <v>29</v>
      </c>
      <c r="M2" s="41"/>
      <c r="N2" s="42" t="s">
        <v>25</v>
      </c>
      <c r="O2" s="43" t="s">
        <v>26</v>
      </c>
      <c r="P2" s="43" t="s">
        <v>27</v>
      </c>
      <c r="Q2" s="45" t="s">
        <v>29</v>
      </c>
      <c r="R2" s="41"/>
      <c r="T2" s="133" t="s">
        <v>35</v>
      </c>
      <c r="U2" s="134" t="s">
        <v>1</v>
      </c>
    </row>
    <row r="3" spans="1:21" x14ac:dyDescent="0.35">
      <c r="A3" s="41"/>
      <c r="B3" s="46" t="s">
        <v>12</v>
      </c>
      <c r="C3" s="47">
        <v>3132</v>
      </c>
      <c r="D3" s="41">
        <v>2021</v>
      </c>
      <c r="E3" s="41" t="s">
        <v>75</v>
      </c>
      <c r="F3" s="41" t="s">
        <v>31</v>
      </c>
      <c r="G3" s="48" t="str">
        <f t="shared" ref="G3:G66" si="0">VLOOKUP(F3,$T$3:$U$11,2,0)</f>
        <v>Oaxaca</v>
      </c>
      <c r="H3" s="41"/>
      <c r="I3" s="46" t="s">
        <v>12</v>
      </c>
      <c r="J3" s="49">
        <v>0.50574517406085528</v>
      </c>
      <c r="K3" s="41">
        <v>2022</v>
      </c>
      <c r="L3" s="48" t="s">
        <v>31</v>
      </c>
      <c r="M3" s="41"/>
      <c r="N3" s="46" t="s">
        <v>12</v>
      </c>
      <c r="O3" s="50">
        <v>393485.09672440885</v>
      </c>
      <c r="P3" s="41">
        <v>2021</v>
      </c>
      <c r="Q3" s="48" t="s">
        <v>31</v>
      </c>
      <c r="R3" s="41"/>
      <c r="T3" s="135" t="s">
        <v>49</v>
      </c>
      <c r="U3" s="135" t="s">
        <v>8</v>
      </c>
    </row>
    <row r="4" spans="1:21" x14ac:dyDescent="0.35">
      <c r="A4" s="41"/>
      <c r="B4" s="46" t="s">
        <v>13</v>
      </c>
      <c r="C4" s="47">
        <v>1566</v>
      </c>
      <c r="D4" s="41">
        <v>2021</v>
      </c>
      <c r="E4" s="41" t="s">
        <v>75</v>
      </c>
      <c r="F4" s="41" t="s">
        <v>31</v>
      </c>
      <c r="G4" s="48" t="str">
        <f t="shared" si="0"/>
        <v>Oaxaca</v>
      </c>
      <c r="H4" s="41"/>
      <c r="I4" s="46" t="s">
        <v>13</v>
      </c>
      <c r="J4" s="49">
        <v>-0.39642799898878722</v>
      </c>
      <c r="K4" s="41">
        <v>2022</v>
      </c>
      <c r="L4" s="48" t="s">
        <v>31</v>
      </c>
      <c r="M4" s="41"/>
      <c r="N4" s="46" t="s">
        <v>13</v>
      </c>
      <c r="O4" s="50">
        <v>4211.2506270317826</v>
      </c>
      <c r="P4" s="41">
        <v>2021</v>
      </c>
      <c r="Q4" s="48" t="s">
        <v>31</v>
      </c>
      <c r="R4" s="41"/>
      <c r="T4" s="135" t="s">
        <v>7</v>
      </c>
      <c r="U4" s="135" t="s">
        <v>7</v>
      </c>
    </row>
    <row r="5" spans="1:21" x14ac:dyDescent="0.35">
      <c r="A5" s="41"/>
      <c r="B5" s="46" t="s">
        <v>14</v>
      </c>
      <c r="C5" s="47">
        <v>22504</v>
      </c>
      <c r="D5" s="41">
        <v>2021</v>
      </c>
      <c r="E5" s="41" t="s">
        <v>75</v>
      </c>
      <c r="F5" s="41" t="s">
        <v>31</v>
      </c>
      <c r="G5" s="48" t="str">
        <f t="shared" si="0"/>
        <v>Oaxaca</v>
      </c>
      <c r="H5" s="41"/>
      <c r="I5" s="46" t="s">
        <v>14</v>
      </c>
      <c r="J5" s="49">
        <v>-0.35674667519043596</v>
      </c>
      <c r="K5" s="41">
        <v>2022</v>
      </c>
      <c r="L5" s="48" t="s">
        <v>31</v>
      </c>
      <c r="M5" s="41"/>
      <c r="N5" s="46" t="s">
        <v>14</v>
      </c>
      <c r="O5" s="50">
        <v>102405.3427853887</v>
      </c>
      <c r="P5" s="41">
        <v>2021</v>
      </c>
      <c r="Q5" s="48" t="s">
        <v>31</v>
      </c>
      <c r="R5" s="41"/>
      <c r="T5" s="135" t="s">
        <v>52</v>
      </c>
      <c r="U5" s="135" t="s">
        <v>4</v>
      </c>
    </row>
    <row r="6" spans="1:21" x14ac:dyDescent="0.35">
      <c r="A6" s="41"/>
      <c r="B6" s="46" t="s">
        <v>15</v>
      </c>
      <c r="C6" s="47">
        <v>51678</v>
      </c>
      <c r="D6" s="41">
        <v>2021</v>
      </c>
      <c r="E6" s="41" t="s">
        <v>75</v>
      </c>
      <c r="F6" s="41" t="s">
        <v>31</v>
      </c>
      <c r="G6" s="48" t="str">
        <f t="shared" si="0"/>
        <v>Oaxaca</v>
      </c>
      <c r="H6" s="41"/>
      <c r="I6" s="46" t="s">
        <v>15</v>
      </c>
      <c r="J6" s="49">
        <v>-0.12373109646048884</v>
      </c>
      <c r="K6" s="41">
        <v>2022</v>
      </c>
      <c r="L6" s="48" t="s">
        <v>31</v>
      </c>
      <c r="M6" s="41"/>
      <c r="N6" s="46" t="s">
        <v>15</v>
      </c>
      <c r="O6" s="50">
        <v>94620.693463680334</v>
      </c>
      <c r="P6" s="41">
        <v>2021</v>
      </c>
      <c r="Q6" s="48" t="s">
        <v>31</v>
      </c>
      <c r="R6" s="41"/>
      <c r="T6" s="135" t="s">
        <v>53</v>
      </c>
      <c r="U6" s="135" t="s">
        <v>36</v>
      </c>
    </row>
    <row r="7" spans="1:21" x14ac:dyDescent="0.35">
      <c r="A7" s="41"/>
      <c r="B7" s="46" t="s">
        <v>16</v>
      </c>
      <c r="C7" s="47">
        <v>19140</v>
      </c>
      <c r="D7" s="41">
        <v>2021</v>
      </c>
      <c r="E7" s="41" t="s">
        <v>75</v>
      </c>
      <c r="F7" s="41" t="s">
        <v>31</v>
      </c>
      <c r="G7" s="48" t="str">
        <f t="shared" si="0"/>
        <v>Oaxaca</v>
      </c>
      <c r="H7" s="41"/>
      <c r="I7" s="46" t="s">
        <v>16</v>
      </c>
      <c r="J7" s="49">
        <v>-0.98014422680394331</v>
      </c>
      <c r="K7" s="41">
        <v>2022</v>
      </c>
      <c r="L7" s="48" t="s">
        <v>31</v>
      </c>
      <c r="M7" s="41"/>
      <c r="N7" s="46" t="s">
        <v>16</v>
      </c>
      <c r="O7" s="50">
        <v>-273626.08510163461</v>
      </c>
      <c r="P7" s="41">
        <v>2021</v>
      </c>
      <c r="Q7" s="48" t="s">
        <v>31</v>
      </c>
      <c r="R7" s="41"/>
      <c r="T7" s="135" t="s">
        <v>50</v>
      </c>
      <c r="U7" s="135" t="s">
        <v>3</v>
      </c>
    </row>
    <row r="8" spans="1:21" x14ac:dyDescent="0.35">
      <c r="A8" s="41"/>
      <c r="B8" s="46" t="s">
        <v>17</v>
      </c>
      <c r="C8" s="47">
        <v>11310</v>
      </c>
      <c r="D8" s="41">
        <v>2021</v>
      </c>
      <c r="E8" s="41" t="s">
        <v>75</v>
      </c>
      <c r="F8" s="41" t="s">
        <v>31</v>
      </c>
      <c r="G8" s="48" t="str">
        <f t="shared" si="0"/>
        <v>Oaxaca</v>
      </c>
      <c r="H8" s="41"/>
      <c r="I8" s="46" t="s">
        <v>17</v>
      </c>
      <c r="J8" s="49" t="s">
        <v>39</v>
      </c>
      <c r="K8" s="41">
        <v>2022</v>
      </c>
      <c r="L8" s="48" t="s">
        <v>31</v>
      </c>
      <c r="M8" s="41"/>
      <c r="N8" s="46" t="s">
        <v>17</v>
      </c>
      <c r="O8" s="50">
        <v>-354.81673471943941</v>
      </c>
      <c r="P8" s="41">
        <v>2021</v>
      </c>
      <c r="Q8" s="48" t="s">
        <v>31</v>
      </c>
      <c r="R8" s="41"/>
      <c r="T8" s="135" t="s">
        <v>51</v>
      </c>
      <c r="U8" s="135" t="s">
        <v>37</v>
      </c>
    </row>
    <row r="9" spans="1:21" x14ac:dyDescent="0.35">
      <c r="A9" s="41"/>
      <c r="B9" s="46" t="s">
        <v>18</v>
      </c>
      <c r="C9" s="47">
        <v>43500</v>
      </c>
      <c r="D9" s="41">
        <v>2021</v>
      </c>
      <c r="E9" s="41" t="s">
        <v>75</v>
      </c>
      <c r="F9" s="41" t="s">
        <v>31</v>
      </c>
      <c r="G9" s="48" t="str">
        <f t="shared" si="0"/>
        <v>Oaxaca</v>
      </c>
      <c r="H9" s="41"/>
      <c r="I9" s="46" t="s">
        <v>18</v>
      </c>
      <c r="J9" s="49" t="s">
        <v>39</v>
      </c>
      <c r="K9" s="41">
        <v>2022</v>
      </c>
      <c r="L9" s="48" t="s">
        <v>31</v>
      </c>
      <c r="M9" s="41"/>
      <c r="N9" s="46" t="s">
        <v>18</v>
      </c>
      <c r="O9" s="50">
        <v>-63500.715880412143</v>
      </c>
      <c r="P9" s="41">
        <v>2021</v>
      </c>
      <c r="Q9" s="48" t="s">
        <v>31</v>
      </c>
      <c r="R9" s="41"/>
      <c r="T9" s="135" t="s">
        <v>31</v>
      </c>
      <c r="U9" s="135" t="s">
        <v>6</v>
      </c>
    </row>
    <row r="10" spans="1:21" x14ac:dyDescent="0.35">
      <c r="A10" s="41"/>
      <c r="B10" s="46" t="s">
        <v>19</v>
      </c>
      <c r="C10" s="47">
        <v>46980</v>
      </c>
      <c r="D10" s="41">
        <v>2021</v>
      </c>
      <c r="E10" s="41" t="s">
        <v>75</v>
      </c>
      <c r="F10" s="41" t="s">
        <v>31</v>
      </c>
      <c r="G10" s="48" t="str">
        <f t="shared" si="0"/>
        <v>Oaxaca</v>
      </c>
      <c r="H10" s="41"/>
      <c r="I10" s="46" t="s">
        <v>19</v>
      </c>
      <c r="J10" s="49" t="s">
        <v>39</v>
      </c>
      <c r="K10" s="41">
        <v>2022</v>
      </c>
      <c r="L10" s="48" t="s">
        <v>31</v>
      </c>
      <c r="M10" s="41"/>
      <c r="N10" s="46" t="s">
        <v>19</v>
      </c>
      <c r="O10" s="50">
        <v>-275356.89473293594</v>
      </c>
      <c r="P10" s="41">
        <v>2021</v>
      </c>
      <c r="Q10" s="48" t="s">
        <v>31</v>
      </c>
      <c r="R10" s="41"/>
      <c r="T10" s="135" t="s">
        <v>78</v>
      </c>
      <c r="U10" s="135" t="s">
        <v>58</v>
      </c>
    </row>
    <row r="11" spans="1:21" x14ac:dyDescent="0.35">
      <c r="A11" s="41"/>
      <c r="B11" s="46" t="s">
        <v>20</v>
      </c>
      <c r="C11" s="47">
        <v>33060</v>
      </c>
      <c r="D11" s="41">
        <v>2021</v>
      </c>
      <c r="E11" s="41" t="s">
        <v>75</v>
      </c>
      <c r="F11" s="41" t="s">
        <v>31</v>
      </c>
      <c r="G11" s="48" t="str">
        <f t="shared" si="0"/>
        <v>Oaxaca</v>
      </c>
      <c r="H11" s="41"/>
      <c r="I11" s="46" t="s">
        <v>20</v>
      </c>
      <c r="J11" s="49" t="s">
        <v>39</v>
      </c>
      <c r="K11" s="41">
        <v>2022</v>
      </c>
      <c r="L11" s="48" t="s">
        <v>31</v>
      </c>
      <c r="M11" s="41"/>
      <c r="N11" s="46" t="s">
        <v>20</v>
      </c>
      <c r="O11" s="50">
        <v>-139141.13236269192</v>
      </c>
      <c r="P11" s="41">
        <v>2021</v>
      </c>
      <c r="Q11" s="48" t="s">
        <v>31</v>
      </c>
      <c r="R11" s="41"/>
      <c r="T11" s="135" t="s">
        <v>55</v>
      </c>
      <c r="U11" s="135" t="s">
        <v>9</v>
      </c>
    </row>
    <row r="12" spans="1:21" x14ac:dyDescent="0.35">
      <c r="A12" s="41"/>
      <c r="B12" s="46" t="s">
        <v>21</v>
      </c>
      <c r="C12" s="47">
        <v>8700</v>
      </c>
      <c r="D12" s="41">
        <v>2021</v>
      </c>
      <c r="E12" s="41" t="s">
        <v>75</v>
      </c>
      <c r="F12" s="41" t="s">
        <v>31</v>
      </c>
      <c r="G12" s="48" t="str">
        <f t="shared" si="0"/>
        <v>Oaxaca</v>
      </c>
      <c r="H12" s="41"/>
      <c r="I12" s="46" t="s">
        <v>21</v>
      </c>
      <c r="J12" s="49" t="s">
        <v>39</v>
      </c>
      <c r="K12" s="41">
        <v>2022</v>
      </c>
      <c r="L12" s="48" t="s">
        <v>31</v>
      </c>
      <c r="M12" s="41"/>
      <c r="N12" s="46" t="s">
        <v>21</v>
      </c>
      <c r="O12" s="50">
        <v>148896.53134590125</v>
      </c>
      <c r="P12" s="41">
        <v>2021</v>
      </c>
      <c r="Q12" s="48" t="s">
        <v>31</v>
      </c>
      <c r="R12" s="41"/>
      <c r="T12" s="135" t="s">
        <v>48</v>
      </c>
      <c r="U12" s="135" t="s">
        <v>5</v>
      </c>
    </row>
    <row r="13" spans="1:21" x14ac:dyDescent="0.35">
      <c r="A13" s="41"/>
      <c r="B13" s="46" t="s">
        <v>22</v>
      </c>
      <c r="C13" s="47">
        <v>9860</v>
      </c>
      <c r="D13" s="41">
        <v>2021</v>
      </c>
      <c r="E13" s="41" t="s">
        <v>75</v>
      </c>
      <c r="F13" s="41" t="s">
        <v>31</v>
      </c>
      <c r="G13" s="48" t="str">
        <f t="shared" si="0"/>
        <v>Oaxaca</v>
      </c>
      <c r="H13" s="41"/>
      <c r="I13" s="46" t="s">
        <v>22</v>
      </c>
      <c r="J13" s="49" t="s">
        <v>39</v>
      </c>
      <c r="K13" s="41">
        <v>2022</v>
      </c>
      <c r="L13" s="48" t="s">
        <v>31</v>
      </c>
      <c r="M13" s="41"/>
      <c r="N13" s="46" t="s">
        <v>22</v>
      </c>
      <c r="O13" s="50">
        <v>-31246.307902593282</v>
      </c>
      <c r="P13" s="41">
        <v>2021</v>
      </c>
      <c r="Q13" s="48" t="s">
        <v>31</v>
      </c>
      <c r="R13" s="41"/>
    </row>
    <row r="14" spans="1:21" x14ac:dyDescent="0.35">
      <c r="A14" s="41"/>
      <c r="B14" s="46" t="s">
        <v>23</v>
      </c>
      <c r="C14" s="47">
        <v>2610</v>
      </c>
      <c r="D14" s="41">
        <v>2021</v>
      </c>
      <c r="E14" s="41" t="s">
        <v>75</v>
      </c>
      <c r="F14" s="41" t="s">
        <v>31</v>
      </c>
      <c r="G14" s="48" t="str">
        <f t="shared" si="0"/>
        <v>Oaxaca</v>
      </c>
      <c r="H14" s="41"/>
      <c r="I14" s="51" t="s">
        <v>23</v>
      </c>
      <c r="J14" s="52" t="s">
        <v>39</v>
      </c>
      <c r="K14" s="53">
        <v>2022</v>
      </c>
      <c r="L14" s="54" t="s">
        <v>31</v>
      </c>
      <c r="M14" s="41"/>
      <c r="N14" s="51" t="s">
        <v>23</v>
      </c>
      <c r="O14" s="55">
        <v>-372507.6062784986</v>
      </c>
      <c r="P14" s="53">
        <v>2021</v>
      </c>
      <c r="Q14" s="54" t="s">
        <v>31</v>
      </c>
      <c r="R14" s="41"/>
    </row>
    <row r="15" spans="1:21" x14ac:dyDescent="0.35">
      <c r="A15" s="41"/>
      <c r="B15" s="46" t="s">
        <v>12</v>
      </c>
      <c r="C15" s="47">
        <v>48720</v>
      </c>
      <c r="D15" s="41">
        <v>2022</v>
      </c>
      <c r="E15" s="41" t="s">
        <v>75</v>
      </c>
      <c r="F15" s="41" t="s">
        <v>31</v>
      </c>
      <c r="G15" s="48" t="str">
        <f t="shared" si="0"/>
        <v>Oaxaca</v>
      </c>
      <c r="H15" s="41"/>
      <c r="I15" s="46" t="s">
        <v>12</v>
      </c>
      <c r="J15" s="49">
        <v>0.24</v>
      </c>
      <c r="K15" s="41">
        <v>2022</v>
      </c>
      <c r="L15" s="48" t="s">
        <v>48</v>
      </c>
      <c r="M15" s="41"/>
      <c r="N15" s="46" t="s">
        <v>12</v>
      </c>
      <c r="O15" s="50">
        <v>521456.56260409823</v>
      </c>
      <c r="P15" s="41">
        <v>2022</v>
      </c>
      <c r="Q15" s="48" t="s">
        <v>31</v>
      </c>
      <c r="R15" s="41"/>
    </row>
    <row r="16" spans="1:21" x14ac:dyDescent="0.35">
      <c r="A16" s="41"/>
      <c r="B16" s="46" t="s">
        <v>13</v>
      </c>
      <c r="C16" s="47">
        <v>9570</v>
      </c>
      <c r="D16" s="41">
        <v>2022</v>
      </c>
      <c r="E16" s="41" t="s">
        <v>75</v>
      </c>
      <c r="F16" s="41" t="s">
        <v>31</v>
      </c>
      <c r="G16" s="48" t="str">
        <f t="shared" si="0"/>
        <v>Oaxaca</v>
      </c>
      <c r="H16" s="41"/>
      <c r="I16" s="46" t="s">
        <v>13</v>
      </c>
      <c r="J16" s="49">
        <v>0.15124160789461719</v>
      </c>
      <c r="K16" s="41">
        <v>2022</v>
      </c>
      <c r="L16" s="48" t="s">
        <v>48</v>
      </c>
      <c r="M16" s="41"/>
      <c r="N16" s="46" t="s">
        <v>13</v>
      </c>
      <c r="O16" s="50">
        <v>-204075.56343175709</v>
      </c>
      <c r="P16" s="41">
        <v>2022</v>
      </c>
      <c r="Q16" s="48" t="s">
        <v>31</v>
      </c>
      <c r="R16" s="41"/>
    </row>
    <row r="17" spans="1:18" x14ac:dyDescent="0.35">
      <c r="A17" s="41"/>
      <c r="B17" s="46" t="s">
        <v>14</v>
      </c>
      <c r="C17" s="47">
        <v>2610</v>
      </c>
      <c r="D17" s="41">
        <v>2022</v>
      </c>
      <c r="E17" s="41" t="s">
        <v>75</v>
      </c>
      <c r="F17" s="41" t="s">
        <v>31</v>
      </c>
      <c r="G17" s="48" t="str">
        <f t="shared" si="0"/>
        <v>Oaxaca</v>
      </c>
      <c r="H17" s="41"/>
      <c r="I17" s="46" t="s">
        <v>14</v>
      </c>
      <c r="J17" s="49">
        <v>5.7439817923060167E-2</v>
      </c>
      <c r="K17" s="41">
        <v>2022</v>
      </c>
      <c r="L17" s="48" t="s">
        <v>48</v>
      </c>
      <c r="M17" s="41"/>
      <c r="N17" s="46" t="s">
        <v>14</v>
      </c>
      <c r="O17" s="50">
        <v>-192610.82213633368</v>
      </c>
      <c r="P17" s="41">
        <v>2022</v>
      </c>
      <c r="Q17" s="48" t="s">
        <v>31</v>
      </c>
      <c r="R17" s="41"/>
    </row>
    <row r="18" spans="1:18" x14ac:dyDescent="0.35">
      <c r="A18" s="41"/>
      <c r="B18" s="46" t="s">
        <v>15</v>
      </c>
      <c r="C18" s="47">
        <v>870</v>
      </c>
      <c r="D18" s="41">
        <v>2022</v>
      </c>
      <c r="E18" s="41" t="s">
        <v>75</v>
      </c>
      <c r="F18" s="41" t="s">
        <v>31</v>
      </c>
      <c r="G18" s="48" t="str">
        <f t="shared" si="0"/>
        <v>Oaxaca</v>
      </c>
      <c r="H18" s="41"/>
      <c r="I18" s="46" t="s">
        <v>15</v>
      </c>
      <c r="J18" s="49">
        <v>0.51082035788111613</v>
      </c>
      <c r="K18" s="41">
        <v>2022</v>
      </c>
      <c r="L18" s="48" t="s">
        <v>48</v>
      </c>
      <c r="M18" s="41"/>
      <c r="N18" s="46" t="s">
        <v>15</v>
      </c>
      <c r="O18" s="50">
        <v>-69989.212303742534</v>
      </c>
      <c r="P18" s="41">
        <v>2022</v>
      </c>
      <c r="Q18" s="48" t="s">
        <v>31</v>
      </c>
      <c r="R18" s="41"/>
    </row>
    <row r="19" spans="1:18" x14ac:dyDescent="0.35">
      <c r="A19" s="41"/>
      <c r="B19" s="51" t="s">
        <v>16</v>
      </c>
      <c r="C19" s="56" t="s">
        <v>39</v>
      </c>
      <c r="D19" s="53">
        <v>2022</v>
      </c>
      <c r="E19" s="53" t="s">
        <v>75</v>
      </c>
      <c r="F19" s="53" t="s">
        <v>31</v>
      </c>
      <c r="G19" s="54" t="str">
        <f t="shared" si="0"/>
        <v>Oaxaca</v>
      </c>
      <c r="H19" s="41"/>
      <c r="I19" s="46" t="s">
        <v>16</v>
      </c>
      <c r="J19" s="49">
        <v>-0.63131378821332695</v>
      </c>
      <c r="K19" s="41">
        <v>2022</v>
      </c>
      <c r="L19" s="48" t="s">
        <v>48</v>
      </c>
      <c r="M19" s="41"/>
      <c r="N19" s="46" t="s">
        <v>16</v>
      </c>
      <c r="O19" s="50">
        <v>-276112.50955603149</v>
      </c>
      <c r="P19" s="41">
        <v>2022</v>
      </c>
      <c r="Q19" s="48" t="s">
        <v>31</v>
      </c>
      <c r="R19" s="41"/>
    </row>
    <row r="20" spans="1:18" x14ac:dyDescent="0.35">
      <c r="A20" s="41"/>
      <c r="B20" s="46" t="s">
        <v>12</v>
      </c>
      <c r="C20" s="57">
        <v>160769.04</v>
      </c>
      <c r="D20" s="41">
        <v>2021</v>
      </c>
      <c r="E20" s="41" t="s">
        <v>75</v>
      </c>
      <c r="F20" s="41" t="s">
        <v>48</v>
      </c>
      <c r="G20" s="48" t="str">
        <f>VLOOKUP(F20,$T$3:$U$12,2,0)</f>
        <v>Campeche</v>
      </c>
      <c r="H20" s="41"/>
      <c r="I20" s="46" t="s">
        <v>17</v>
      </c>
      <c r="J20" s="49" t="s">
        <v>39</v>
      </c>
      <c r="K20" s="41">
        <v>2022</v>
      </c>
      <c r="L20" s="48" t="s">
        <v>48</v>
      </c>
      <c r="M20" s="41"/>
      <c r="N20" s="46" t="s">
        <v>17</v>
      </c>
      <c r="O20" s="50">
        <v>0</v>
      </c>
      <c r="P20" s="41">
        <v>2022</v>
      </c>
      <c r="Q20" s="48" t="s">
        <v>31</v>
      </c>
      <c r="R20" s="41"/>
    </row>
    <row r="21" spans="1:18" x14ac:dyDescent="0.35">
      <c r="A21" s="41"/>
      <c r="B21" s="46" t="s">
        <v>13</v>
      </c>
      <c r="C21" s="57">
        <v>173761.04</v>
      </c>
      <c r="D21" s="41">
        <v>2021</v>
      </c>
      <c r="E21" s="41" t="s">
        <v>75</v>
      </c>
      <c r="F21" s="41" t="s">
        <v>48</v>
      </c>
      <c r="G21" s="48" t="str">
        <f t="shared" ref="G21:G36" si="1">VLOOKUP(F21,$T$3:$U$12,2,0)</f>
        <v>Campeche</v>
      </c>
      <c r="H21" s="41"/>
      <c r="I21" s="46" t="s">
        <v>18</v>
      </c>
      <c r="J21" s="49" t="s">
        <v>39</v>
      </c>
      <c r="K21" s="41">
        <v>2022</v>
      </c>
      <c r="L21" s="48" t="s">
        <v>48</v>
      </c>
      <c r="M21" s="41"/>
      <c r="N21" s="46" t="s">
        <v>18</v>
      </c>
      <c r="O21" s="50">
        <v>0</v>
      </c>
      <c r="P21" s="41">
        <v>2022</v>
      </c>
      <c r="Q21" s="48" t="s">
        <v>31</v>
      </c>
      <c r="R21" s="41"/>
    </row>
    <row r="22" spans="1:18" x14ac:dyDescent="0.35">
      <c r="A22" s="41"/>
      <c r="B22" s="46" t="s">
        <v>14</v>
      </c>
      <c r="C22" s="57">
        <v>196504</v>
      </c>
      <c r="D22" s="41">
        <v>2021</v>
      </c>
      <c r="E22" s="41" t="s">
        <v>75</v>
      </c>
      <c r="F22" s="41" t="s">
        <v>48</v>
      </c>
      <c r="G22" s="48" t="str">
        <f t="shared" si="1"/>
        <v>Campeche</v>
      </c>
      <c r="H22" s="41"/>
      <c r="I22" s="46" t="s">
        <v>19</v>
      </c>
      <c r="J22" s="49" t="s">
        <v>39</v>
      </c>
      <c r="K22" s="41">
        <v>2022</v>
      </c>
      <c r="L22" s="48" t="s">
        <v>48</v>
      </c>
      <c r="M22" s="41"/>
      <c r="N22" s="46" t="s">
        <v>19</v>
      </c>
      <c r="O22" s="50">
        <v>0</v>
      </c>
      <c r="P22" s="41">
        <v>2022</v>
      </c>
      <c r="Q22" s="48" t="s">
        <v>31</v>
      </c>
      <c r="R22" s="41"/>
    </row>
    <row r="23" spans="1:18" x14ac:dyDescent="0.35">
      <c r="A23" s="41"/>
      <c r="B23" s="46" t="s">
        <v>15</v>
      </c>
      <c r="C23" s="57">
        <v>376304</v>
      </c>
      <c r="D23" s="41">
        <v>2021</v>
      </c>
      <c r="E23" s="41" t="s">
        <v>75</v>
      </c>
      <c r="F23" s="41" t="s">
        <v>48</v>
      </c>
      <c r="G23" s="48" t="str">
        <f t="shared" si="1"/>
        <v>Campeche</v>
      </c>
      <c r="H23" s="41"/>
      <c r="I23" s="46" t="s">
        <v>20</v>
      </c>
      <c r="J23" s="49" t="s">
        <v>39</v>
      </c>
      <c r="K23" s="41">
        <v>2022</v>
      </c>
      <c r="L23" s="48" t="s">
        <v>48</v>
      </c>
      <c r="M23" s="41"/>
      <c r="N23" s="46" t="s">
        <v>20</v>
      </c>
      <c r="O23" s="50">
        <v>0</v>
      </c>
      <c r="P23" s="41">
        <v>2022</v>
      </c>
      <c r="Q23" s="48" t="s">
        <v>31</v>
      </c>
      <c r="R23" s="41"/>
    </row>
    <row r="24" spans="1:18" x14ac:dyDescent="0.35">
      <c r="A24" s="41"/>
      <c r="B24" s="46" t="s">
        <v>16</v>
      </c>
      <c r="C24" s="57">
        <v>173826</v>
      </c>
      <c r="D24" s="41">
        <v>2021</v>
      </c>
      <c r="E24" s="41" t="s">
        <v>75</v>
      </c>
      <c r="F24" s="41" t="s">
        <v>48</v>
      </c>
      <c r="G24" s="48" t="str">
        <f t="shared" si="1"/>
        <v>Campeche</v>
      </c>
      <c r="H24" s="41"/>
      <c r="I24" s="46" t="s">
        <v>21</v>
      </c>
      <c r="J24" s="49" t="s">
        <v>39</v>
      </c>
      <c r="K24" s="41">
        <v>2022</v>
      </c>
      <c r="L24" s="48" t="s">
        <v>48</v>
      </c>
      <c r="M24" s="41"/>
      <c r="N24" s="46" t="s">
        <v>21</v>
      </c>
      <c r="O24" s="50">
        <v>0</v>
      </c>
      <c r="P24" s="41">
        <v>2022</v>
      </c>
      <c r="Q24" s="48" t="s">
        <v>31</v>
      </c>
      <c r="R24" s="41"/>
    </row>
    <row r="25" spans="1:18" x14ac:dyDescent="0.35">
      <c r="A25" s="41"/>
      <c r="B25" s="46" t="s">
        <v>17</v>
      </c>
      <c r="C25" s="57">
        <v>108750</v>
      </c>
      <c r="D25" s="41">
        <v>2021</v>
      </c>
      <c r="E25" s="41" t="s">
        <v>75</v>
      </c>
      <c r="F25" s="41" t="s">
        <v>48</v>
      </c>
      <c r="G25" s="48" t="str">
        <f t="shared" si="1"/>
        <v>Campeche</v>
      </c>
      <c r="H25" s="41"/>
      <c r="I25" s="46" t="s">
        <v>22</v>
      </c>
      <c r="J25" s="49" t="s">
        <v>39</v>
      </c>
      <c r="K25" s="41">
        <v>2022</v>
      </c>
      <c r="L25" s="48" t="s">
        <v>48</v>
      </c>
      <c r="M25" s="41"/>
      <c r="N25" s="46" t="s">
        <v>22</v>
      </c>
      <c r="O25" s="50">
        <v>0</v>
      </c>
      <c r="P25" s="41">
        <v>2022</v>
      </c>
      <c r="Q25" s="48" t="s">
        <v>31</v>
      </c>
      <c r="R25" s="41"/>
    </row>
    <row r="26" spans="1:18" x14ac:dyDescent="0.35">
      <c r="A26" s="41"/>
      <c r="B26" s="46" t="s">
        <v>18</v>
      </c>
      <c r="C26" s="57">
        <v>183454</v>
      </c>
      <c r="D26" s="41">
        <v>2021</v>
      </c>
      <c r="E26" s="41" t="s">
        <v>75</v>
      </c>
      <c r="F26" s="41" t="s">
        <v>48</v>
      </c>
      <c r="G26" s="48" t="str">
        <f t="shared" si="1"/>
        <v>Campeche</v>
      </c>
      <c r="H26" s="41"/>
      <c r="I26" s="51" t="s">
        <v>23</v>
      </c>
      <c r="J26" s="52" t="s">
        <v>39</v>
      </c>
      <c r="K26" s="53">
        <v>2022</v>
      </c>
      <c r="L26" s="54" t="s">
        <v>48</v>
      </c>
      <c r="M26" s="41"/>
      <c r="N26" s="51" t="s">
        <v>23</v>
      </c>
      <c r="O26" s="55">
        <v>0</v>
      </c>
      <c r="P26" s="53">
        <v>2022</v>
      </c>
      <c r="Q26" s="54" t="s">
        <v>31</v>
      </c>
      <c r="R26" s="41"/>
    </row>
    <row r="27" spans="1:18" x14ac:dyDescent="0.35">
      <c r="A27" s="41"/>
      <c r="B27" s="46" t="s">
        <v>19</v>
      </c>
      <c r="C27" s="57">
        <v>223242</v>
      </c>
      <c r="D27" s="41">
        <v>2021</v>
      </c>
      <c r="E27" s="41" t="s">
        <v>75</v>
      </c>
      <c r="F27" s="41" t="s">
        <v>48</v>
      </c>
      <c r="G27" s="48" t="str">
        <f t="shared" si="1"/>
        <v>Campeche</v>
      </c>
      <c r="H27" s="41"/>
      <c r="I27" s="46" t="s">
        <v>12</v>
      </c>
      <c r="J27" s="49">
        <v>0.36</v>
      </c>
      <c r="K27" s="41">
        <v>2022</v>
      </c>
      <c r="L27" s="48" t="s">
        <v>49</v>
      </c>
      <c r="M27" s="41"/>
      <c r="N27" s="46" t="s">
        <v>12</v>
      </c>
      <c r="O27" s="50">
        <v>658088.33455820708</v>
      </c>
      <c r="P27" s="41">
        <v>2021</v>
      </c>
      <c r="Q27" s="48" t="s">
        <v>48</v>
      </c>
      <c r="R27" s="41"/>
    </row>
    <row r="28" spans="1:18" x14ac:dyDescent="0.35">
      <c r="A28" s="41"/>
      <c r="B28" s="46" t="s">
        <v>20</v>
      </c>
      <c r="C28" s="57">
        <v>306008</v>
      </c>
      <c r="D28" s="41">
        <v>2021</v>
      </c>
      <c r="E28" s="41" t="s">
        <v>75</v>
      </c>
      <c r="F28" s="41" t="s">
        <v>48</v>
      </c>
      <c r="G28" s="48" t="str">
        <f t="shared" si="1"/>
        <v>Campeche</v>
      </c>
      <c r="H28" s="41"/>
      <c r="I28" s="46" t="s">
        <v>13</v>
      </c>
      <c r="J28" s="49">
        <v>0.38877758061342332</v>
      </c>
      <c r="K28" s="41">
        <v>2022</v>
      </c>
      <c r="L28" s="48" t="s">
        <v>49</v>
      </c>
      <c r="M28" s="41"/>
      <c r="N28" s="46" t="s">
        <v>13</v>
      </c>
      <c r="O28" s="50">
        <v>233464.34403361985</v>
      </c>
      <c r="P28" s="41">
        <v>2021</v>
      </c>
      <c r="Q28" s="48" t="s">
        <v>48</v>
      </c>
      <c r="R28" s="41"/>
    </row>
    <row r="29" spans="1:18" x14ac:dyDescent="0.35">
      <c r="A29" s="41"/>
      <c r="B29" s="46" t="s">
        <v>21</v>
      </c>
      <c r="C29" s="57">
        <v>91872</v>
      </c>
      <c r="D29" s="41">
        <v>2021</v>
      </c>
      <c r="E29" s="41" t="s">
        <v>75</v>
      </c>
      <c r="F29" s="41" t="s">
        <v>48</v>
      </c>
      <c r="G29" s="48" t="str">
        <f t="shared" si="1"/>
        <v>Campeche</v>
      </c>
      <c r="H29" s="41"/>
      <c r="I29" s="46" t="s">
        <v>14</v>
      </c>
      <c r="J29" s="49">
        <v>0.35011666147689613</v>
      </c>
      <c r="K29" s="41">
        <v>2022</v>
      </c>
      <c r="L29" s="48" t="s">
        <v>49</v>
      </c>
      <c r="M29" s="41"/>
      <c r="N29" s="46" t="s">
        <v>14</v>
      </c>
      <c r="O29" s="50">
        <v>115064.51378588565</v>
      </c>
      <c r="P29" s="41">
        <v>2021</v>
      </c>
      <c r="Q29" s="48" t="s">
        <v>48</v>
      </c>
      <c r="R29" s="41"/>
    </row>
    <row r="30" spans="1:18" x14ac:dyDescent="0.35">
      <c r="A30" s="41"/>
      <c r="B30" s="46" t="s">
        <v>22</v>
      </c>
      <c r="C30" s="57">
        <v>47554.200000000033</v>
      </c>
      <c r="D30" s="41">
        <v>2021</v>
      </c>
      <c r="E30" s="41" t="s">
        <v>75</v>
      </c>
      <c r="F30" s="41" t="s">
        <v>48</v>
      </c>
      <c r="G30" s="48" t="str">
        <f t="shared" si="1"/>
        <v>Campeche</v>
      </c>
      <c r="H30" s="41"/>
      <c r="I30" s="46" t="s">
        <v>15</v>
      </c>
      <c r="J30" s="49">
        <v>0.33977458575414593</v>
      </c>
      <c r="K30" s="41">
        <v>2022</v>
      </c>
      <c r="L30" s="48" t="s">
        <v>49</v>
      </c>
      <c r="M30" s="41"/>
      <c r="N30" s="46" t="s">
        <v>15</v>
      </c>
      <c r="O30" s="50">
        <v>533999.37884724629</v>
      </c>
      <c r="P30" s="41">
        <v>2021</v>
      </c>
      <c r="Q30" s="48" t="s">
        <v>48</v>
      </c>
      <c r="R30" s="41"/>
    </row>
    <row r="31" spans="1:18" x14ac:dyDescent="0.35">
      <c r="A31" s="41"/>
      <c r="B31" s="46" t="s">
        <v>23</v>
      </c>
      <c r="C31" s="57">
        <v>201086.01</v>
      </c>
      <c r="D31" s="41">
        <v>2021</v>
      </c>
      <c r="E31" s="41" t="s">
        <v>75</v>
      </c>
      <c r="F31" s="41" t="s">
        <v>48</v>
      </c>
      <c r="G31" s="48" t="str">
        <f t="shared" si="1"/>
        <v>Campeche</v>
      </c>
      <c r="H31" s="41"/>
      <c r="I31" s="46" t="s">
        <v>16</v>
      </c>
      <c r="J31" s="49">
        <v>-0.6095702624353273</v>
      </c>
      <c r="K31" s="41">
        <v>2022</v>
      </c>
      <c r="L31" s="48" t="s">
        <v>49</v>
      </c>
      <c r="M31" s="41"/>
      <c r="N31" s="46" t="s">
        <v>16</v>
      </c>
      <c r="O31" s="50">
        <v>-410625.76737625757</v>
      </c>
      <c r="P31" s="41">
        <v>2021</v>
      </c>
      <c r="Q31" s="48" t="s">
        <v>48</v>
      </c>
      <c r="R31" s="41"/>
    </row>
    <row r="32" spans="1:18" x14ac:dyDescent="0.35">
      <c r="A32" s="41"/>
      <c r="B32" s="46" t="s">
        <v>12</v>
      </c>
      <c r="C32" s="57">
        <v>1020104</v>
      </c>
      <c r="D32" s="41">
        <v>2022</v>
      </c>
      <c r="E32" s="41" t="s">
        <v>75</v>
      </c>
      <c r="F32" s="41" t="s">
        <v>48</v>
      </c>
      <c r="G32" s="48" t="str">
        <f t="shared" si="1"/>
        <v>Campeche</v>
      </c>
      <c r="H32" s="41"/>
      <c r="I32" s="46" t="s">
        <v>17</v>
      </c>
      <c r="J32" s="49" t="s">
        <v>39</v>
      </c>
      <c r="K32" s="41">
        <v>2022</v>
      </c>
      <c r="L32" s="48" t="s">
        <v>49</v>
      </c>
      <c r="M32" s="41"/>
      <c r="N32" s="46" t="s">
        <v>17</v>
      </c>
      <c r="O32" s="50">
        <v>346639.39640025469</v>
      </c>
      <c r="P32" s="41">
        <v>2021</v>
      </c>
      <c r="Q32" s="48" t="s">
        <v>48</v>
      </c>
      <c r="R32" s="41"/>
    </row>
    <row r="33" spans="1:18" x14ac:dyDescent="0.35">
      <c r="A33" s="41"/>
      <c r="B33" s="46" t="s">
        <v>13</v>
      </c>
      <c r="C33" s="57">
        <v>308676</v>
      </c>
      <c r="D33" s="41">
        <v>2022</v>
      </c>
      <c r="E33" s="41" t="s">
        <v>75</v>
      </c>
      <c r="F33" s="41" t="s">
        <v>48</v>
      </c>
      <c r="G33" s="48" t="str">
        <f t="shared" si="1"/>
        <v>Campeche</v>
      </c>
      <c r="H33" s="41"/>
      <c r="I33" s="46" t="s">
        <v>18</v>
      </c>
      <c r="J33" s="49" t="s">
        <v>39</v>
      </c>
      <c r="K33" s="41">
        <v>2022</v>
      </c>
      <c r="L33" s="48" t="s">
        <v>49</v>
      </c>
      <c r="M33" s="41"/>
      <c r="N33" s="46" t="s">
        <v>18</v>
      </c>
      <c r="O33" s="50">
        <v>36262.619396280963</v>
      </c>
      <c r="P33" s="41">
        <v>2021</v>
      </c>
      <c r="Q33" s="48" t="s">
        <v>48</v>
      </c>
      <c r="R33" s="41"/>
    </row>
    <row r="34" spans="1:18" x14ac:dyDescent="0.35">
      <c r="A34" s="41"/>
      <c r="B34" s="46" t="s">
        <v>14</v>
      </c>
      <c r="C34" s="57">
        <v>117566</v>
      </c>
      <c r="D34" s="41">
        <v>2022</v>
      </c>
      <c r="E34" s="41" t="s">
        <v>75</v>
      </c>
      <c r="F34" s="41" t="s">
        <v>48</v>
      </c>
      <c r="G34" s="48" t="str">
        <f t="shared" si="1"/>
        <v>Campeche</v>
      </c>
      <c r="H34" s="41"/>
      <c r="I34" s="46" t="s">
        <v>19</v>
      </c>
      <c r="J34" s="49" t="s">
        <v>39</v>
      </c>
      <c r="K34" s="41">
        <v>2022</v>
      </c>
      <c r="L34" s="48" t="s">
        <v>49</v>
      </c>
      <c r="M34" s="41"/>
      <c r="N34" s="46" t="s">
        <v>19</v>
      </c>
      <c r="O34" s="50">
        <v>459909.12107790948</v>
      </c>
      <c r="P34" s="41">
        <v>2021</v>
      </c>
      <c r="Q34" s="48" t="s">
        <v>48</v>
      </c>
      <c r="R34" s="41"/>
    </row>
    <row r="35" spans="1:18" x14ac:dyDescent="0.35">
      <c r="A35" s="41"/>
      <c r="B35" s="46" t="s">
        <v>15</v>
      </c>
      <c r="C35" s="57">
        <v>66584</v>
      </c>
      <c r="D35" s="41">
        <v>2022</v>
      </c>
      <c r="E35" s="41" t="s">
        <v>75</v>
      </c>
      <c r="F35" s="41" t="s">
        <v>48</v>
      </c>
      <c r="G35" s="48" t="str">
        <f t="shared" si="1"/>
        <v>Campeche</v>
      </c>
      <c r="H35" s="41"/>
      <c r="I35" s="46" t="s">
        <v>20</v>
      </c>
      <c r="J35" s="49" t="s">
        <v>39</v>
      </c>
      <c r="K35" s="41">
        <v>2022</v>
      </c>
      <c r="L35" s="48" t="s">
        <v>49</v>
      </c>
      <c r="M35" s="41"/>
      <c r="N35" s="46" t="s">
        <v>20</v>
      </c>
      <c r="O35" s="50">
        <v>238013.00215800491</v>
      </c>
      <c r="P35" s="41">
        <v>2021</v>
      </c>
      <c r="Q35" s="48" t="s">
        <v>48</v>
      </c>
      <c r="R35" s="41"/>
    </row>
    <row r="36" spans="1:18" x14ac:dyDescent="0.35">
      <c r="A36" s="41"/>
      <c r="B36" s="51" t="s">
        <v>16</v>
      </c>
      <c r="C36" s="58">
        <v>55332</v>
      </c>
      <c r="D36" s="53">
        <v>2022</v>
      </c>
      <c r="E36" s="53" t="s">
        <v>75</v>
      </c>
      <c r="F36" s="53" t="s">
        <v>48</v>
      </c>
      <c r="G36" s="54" t="str">
        <f t="shared" si="1"/>
        <v>Campeche</v>
      </c>
      <c r="H36" s="41"/>
      <c r="I36" s="46" t="s">
        <v>21</v>
      </c>
      <c r="J36" s="49" t="s">
        <v>39</v>
      </c>
      <c r="K36" s="41">
        <v>2022</v>
      </c>
      <c r="L36" s="48" t="s">
        <v>49</v>
      </c>
      <c r="M36" s="41"/>
      <c r="N36" s="46" t="s">
        <v>21</v>
      </c>
      <c r="O36" s="50">
        <v>147372.12688393088</v>
      </c>
      <c r="P36" s="41">
        <v>2021</v>
      </c>
      <c r="Q36" s="48" t="s">
        <v>48</v>
      </c>
      <c r="R36" s="41"/>
    </row>
    <row r="37" spans="1:18" x14ac:dyDescent="0.35">
      <c r="A37" s="41"/>
      <c r="B37" s="46" t="s">
        <v>12</v>
      </c>
      <c r="C37" s="57">
        <v>432448</v>
      </c>
      <c r="D37" s="41">
        <v>2021</v>
      </c>
      <c r="E37" s="41" t="s">
        <v>75</v>
      </c>
      <c r="F37" s="41" t="s">
        <v>49</v>
      </c>
      <c r="G37" s="48" t="str">
        <f t="shared" si="0"/>
        <v>Guerrero</v>
      </c>
      <c r="H37" s="41"/>
      <c r="I37" s="46" t="s">
        <v>22</v>
      </c>
      <c r="J37" s="49" t="s">
        <v>39</v>
      </c>
      <c r="K37" s="41">
        <v>2022</v>
      </c>
      <c r="L37" s="48" t="s">
        <v>49</v>
      </c>
      <c r="M37" s="41"/>
      <c r="N37" s="46" t="s">
        <v>22</v>
      </c>
      <c r="O37" s="50">
        <v>11984.890393577749</v>
      </c>
      <c r="P37" s="41">
        <v>2021</v>
      </c>
      <c r="Q37" s="48" t="s">
        <v>48</v>
      </c>
      <c r="R37" s="41"/>
    </row>
    <row r="38" spans="1:18" x14ac:dyDescent="0.35">
      <c r="A38" s="41"/>
      <c r="B38" s="46" t="s">
        <v>13</v>
      </c>
      <c r="C38" s="57">
        <v>609580</v>
      </c>
      <c r="D38" s="41">
        <v>2021</v>
      </c>
      <c r="E38" s="41" t="s">
        <v>75</v>
      </c>
      <c r="F38" s="41" t="s">
        <v>49</v>
      </c>
      <c r="G38" s="48" t="str">
        <f t="shared" si="0"/>
        <v>Guerrero</v>
      </c>
      <c r="H38" s="41"/>
      <c r="I38" s="51" t="s">
        <v>23</v>
      </c>
      <c r="J38" s="52" t="s">
        <v>39</v>
      </c>
      <c r="K38" s="53">
        <v>2022</v>
      </c>
      <c r="L38" s="54" t="s">
        <v>49</v>
      </c>
      <c r="M38" s="41"/>
      <c r="N38" s="51" t="s">
        <v>23</v>
      </c>
      <c r="O38" s="55">
        <v>-448264.55935142247</v>
      </c>
      <c r="P38" s="53">
        <v>2021</v>
      </c>
      <c r="Q38" s="54" t="s">
        <v>48</v>
      </c>
      <c r="R38" s="41"/>
    </row>
    <row r="39" spans="1:18" x14ac:dyDescent="0.35">
      <c r="A39" s="41"/>
      <c r="B39" s="46" t="s">
        <v>14</v>
      </c>
      <c r="C39" s="57">
        <v>416498</v>
      </c>
      <c r="D39" s="41">
        <v>2021</v>
      </c>
      <c r="E39" s="41" t="s">
        <v>75</v>
      </c>
      <c r="F39" s="41" t="s">
        <v>49</v>
      </c>
      <c r="G39" s="48" t="str">
        <f t="shared" si="0"/>
        <v>Guerrero</v>
      </c>
      <c r="H39" s="41"/>
      <c r="I39" s="46" t="s">
        <v>12</v>
      </c>
      <c r="J39" s="49">
        <v>0.61</v>
      </c>
      <c r="K39" s="41">
        <v>2022</v>
      </c>
      <c r="L39" s="48" t="s">
        <v>50</v>
      </c>
      <c r="M39" s="41"/>
      <c r="N39" s="46" t="s">
        <v>12</v>
      </c>
      <c r="O39" s="50">
        <v>2366803.7659203899</v>
      </c>
      <c r="P39" s="41">
        <v>2022</v>
      </c>
      <c r="Q39" s="48" t="s">
        <v>48</v>
      </c>
      <c r="R39" s="41"/>
    </row>
    <row r="40" spans="1:18" x14ac:dyDescent="0.35">
      <c r="A40" s="41"/>
      <c r="B40" s="46" t="s">
        <v>15</v>
      </c>
      <c r="C40" s="57">
        <v>473222</v>
      </c>
      <c r="D40" s="41">
        <v>2021</v>
      </c>
      <c r="E40" s="41" t="s">
        <v>75</v>
      </c>
      <c r="F40" s="41" t="s">
        <v>49</v>
      </c>
      <c r="G40" s="48" t="str">
        <f t="shared" si="0"/>
        <v>Guerrero</v>
      </c>
      <c r="H40" s="41"/>
      <c r="I40" s="46" t="s">
        <v>13</v>
      </c>
      <c r="J40" s="49">
        <v>0.61948938962650091</v>
      </c>
      <c r="K40" s="41">
        <v>2022</v>
      </c>
      <c r="L40" s="48" t="s">
        <v>50</v>
      </c>
      <c r="M40" s="41"/>
      <c r="N40" s="46" t="s">
        <v>13</v>
      </c>
      <c r="O40" s="50">
        <v>153849.87734877132</v>
      </c>
      <c r="P40" s="41">
        <v>2022</v>
      </c>
      <c r="Q40" s="48" t="s">
        <v>48</v>
      </c>
      <c r="R40" s="41"/>
    </row>
    <row r="41" spans="1:18" x14ac:dyDescent="0.35">
      <c r="A41" s="41"/>
      <c r="B41" s="46" t="s">
        <v>16</v>
      </c>
      <c r="C41" s="57">
        <v>512314</v>
      </c>
      <c r="D41" s="41">
        <v>2021</v>
      </c>
      <c r="E41" s="41" t="s">
        <v>75</v>
      </c>
      <c r="F41" s="41" t="s">
        <v>49</v>
      </c>
      <c r="G41" s="48" t="str">
        <f t="shared" si="0"/>
        <v>Guerrero</v>
      </c>
      <c r="H41" s="41"/>
      <c r="I41" s="46" t="s">
        <v>14</v>
      </c>
      <c r="J41" s="49">
        <v>0.40944863117563735</v>
      </c>
      <c r="K41" s="41">
        <v>2022</v>
      </c>
      <c r="L41" s="48" t="s">
        <v>50</v>
      </c>
      <c r="M41" s="41"/>
      <c r="N41" s="46" t="s">
        <v>14</v>
      </c>
      <c r="O41" s="50">
        <v>45303.19529739907</v>
      </c>
      <c r="P41" s="41">
        <v>2022</v>
      </c>
      <c r="Q41" s="48" t="s">
        <v>48</v>
      </c>
      <c r="R41" s="41"/>
    </row>
    <row r="42" spans="1:18" x14ac:dyDescent="0.35">
      <c r="A42" s="41"/>
      <c r="B42" s="46" t="s">
        <v>17</v>
      </c>
      <c r="C42" s="57">
        <v>177190</v>
      </c>
      <c r="D42" s="41">
        <v>2021</v>
      </c>
      <c r="E42" s="41" t="s">
        <v>75</v>
      </c>
      <c r="F42" s="41" t="s">
        <v>49</v>
      </c>
      <c r="G42" s="48" t="str">
        <f t="shared" si="0"/>
        <v>Guerrero</v>
      </c>
      <c r="H42" s="41"/>
      <c r="I42" s="46" t="s">
        <v>15</v>
      </c>
      <c r="J42" s="49">
        <v>0.40413147065267563</v>
      </c>
      <c r="K42" s="41">
        <v>2022</v>
      </c>
      <c r="L42" s="48" t="s">
        <v>50</v>
      </c>
      <c r="M42" s="41"/>
      <c r="N42" s="46" t="s">
        <v>15</v>
      </c>
      <c r="O42" s="50">
        <v>686475.84581019939</v>
      </c>
      <c r="P42" s="41">
        <v>2022</v>
      </c>
      <c r="Q42" s="48" t="s">
        <v>48</v>
      </c>
      <c r="R42" s="41"/>
    </row>
    <row r="43" spans="1:18" x14ac:dyDescent="0.35">
      <c r="A43" s="41"/>
      <c r="B43" s="46" t="s">
        <v>18</v>
      </c>
      <c r="C43" s="57">
        <v>707999.45759999985</v>
      </c>
      <c r="D43" s="41">
        <v>2021</v>
      </c>
      <c r="E43" s="41" t="s">
        <v>75</v>
      </c>
      <c r="F43" s="41" t="s">
        <v>49</v>
      </c>
      <c r="G43" s="48" t="str">
        <f t="shared" si="0"/>
        <v>Guerrero</v>
      </c>
      <c r="H43" s="41"/>
      <c r="I43" s="46" t="s">
        <v>16</v>
      </c>
      <c r="J43" s="49">
        <v>-0.41564762684525058</v>
      </c>
      <c r="K43" s="41">
        <v>2022</v>
      </c>
      <c r="L43" s="48" t="s">
        <v>50</v>
      </c>
      <c r="M43" s="41"/>
      <c r="N43" s="46" t="s">
        <v>16</v>
      </c>
      <c r="O43" s="50">
        <v>-285472.34249674703</v>
      </c>
      <c r="P43" s="41">
        <v>2022</v>
      </c>
      <c r="Q43" s="48" t="s">
        <v>48</v>
      </c>
      <c r="R43" s="41"/>
    </row>
    <row r="44" spans="1:18" x14ac:dyDescent="0.35">
      <c r="A44" s="41"/>
      <c r="B44" s="46" t="s">
        <v>19</v>
      </c>
      <c r="C44" s="57">
        <v>978634</v>
      </c>
      <c r="D44" s="41">
        <v>2021</v>
      </c>
      <c r="E44" s="41" t="s">
        <v>75</v>
      </c>
      <c r="F44" s="41" t="s">
        <v>49</v>
      </c>
      <c r="G44" s="48" t="str">
        <f t="shared" si="0"/>
        <v>Guerrero</v>
      </c>
      <c r="H44" s="41"/>
      <c r="I44" s="46" t="s">
        <v>17</v>
      </c>
      <c r="J44" s="49" t="s">
        <v>39</v>
      </c>
      <c r="K44" s="41">
        <v>2022</v>
      </c>
      <c r="L44" s="48" t="s">
        <v>50</v>
      </c>
      <c r="M44" s="41"/>
      <c r="N44" s="46" t="s">
        <v>17</v>
      </c>
      <c r="O44" s="50">
        <v>0</v>
      </c>
      <c r="P44" s="41">
        <v>2022</v>
      </c>
      <c r="Q44" s="48" t="s">
        <v>48</v>
      </c>
      <c r="R44" s="41"/>
    </row>
    <row r="45" spans="1:18" x14ac:dyDescent="0.35">
      <c r="A45" s="41"/>
      <c r="B45" s="46" t="s">
        <v>20</v>
      </c>
      <c r="C45" s="57">
        <v>335530</v>
      </c>
      <c r="D45" s="41">
        <v>2021</v>
      </c>
      <c r="E45" s="41" t="s">
        <v>75</v>
      </c>
      <c r="F45" s="41" t="s">
        <v>49</v>
      </c>
      <c r="G45" s="48" t="str">
        <f t="shared" si="0"/>
        <v>Guerrero</v>
      </c>
      <c r="H45" s="41"/>
      <c r="I45" s="46" t="s">
        <v>18</v>
      </c>
      <c r="J45" s="49" t="s">
        <v>39</v>
      </c>
      <c r="K45" s="41">
        <v>2022</v>
      </c>
      <c r="L45" s="48" t="s">
        <v>50</v>
      </c>
      <c r="M45" s="41"/>
      <c r="N45" s="46" t="s">
        <v>18</v>
      </c>
      <c r="O45" s="50">
        <v>0</v>
      </c>
      <c r="P45" s="41">
        <v>2022</v>
      </c>
      <c r="Q45" s="48" t="s">
        <v>48</v>
      </c>
      <c r="R45" s="41"/>
    </row>
    <row r="46" spans="1:18" x14ac:dyDescent="0.35">
      <c r="A46" s="41"/>
      <c r="B46" s="46" t="s">
        <v>21</v>
      </c>
      <c r="C46" s="57">
        <v>386736.11</v>
      </c>
      <c r="D46" s="41">
        <v>2021</v>
      </c>
      <c r="E46" s="41" t="s">
        <v>75</v>
      </c>
      <c r="F46" s="41" t="s">
        <v>49</v>
      </c>
      <c r="G46" s="48" t="str">
        <f t="shared" si="0"/>
        <v>Guerrero</v>
      </c>
      <c r="H46" s="41"/>
      <c r="I46" s="46" t="s">
        <v>19</v>
      </c>
      <c r="J46" s="49" t="s">
        <v>39</v>
      </c>
      <c r="K46" s="41">
        <v>2022</v>
      </c>
      <c r="L46" s="48" t="s">
        <v>50</v>
      </c>
      <c r="M46" s="41"/>
      <c r="N46" s="46" t="s">
        <v>19</v>
      </c>
      <c r="O46" s="50">
        <v>0</v>
      </c>
      <c r="P46" s="41">
        <v>2022</v>
      </c>
      <c r="Q46" s="48" t="s">
        <v>48</v>
      </c>
      <c r="R46" s="41"/>
    </row>
    <row r="47" spans="1:18" x14ac:dyDescent="0.35">
      <c r="A47" s="41"/>
      <c r="B47" s="46" t="s">
        <v>22</v>
      </c>
      <c r="C47" s="57">
        <v>487702.2799999998</v>
      </c>
      <c r="D47" s="41">
        <v>2021</v>
      </c>
      <c r="E47" s="41" t="s">
        <v>75</v>
      </c>
      <c r="F47" s="41" t="s">
        <v>49</v>
      </c>
      <c r="G47" s="48" t="str">
        <f t="shared" si="0"/>
        <v>Guerrero</v>
      </c>
      <c r="H47" s="41"/>
      <c r="I47" s="46" t="s">
        <v>20</v>
      </c>
      <c r="J47" s="49" t="s">
        <v>39</v>
      </c>
      <c r="K47" s="41">
        <v>2022</v>
      </c>
      <c r="L47" s="48" t="s">
        <v>50</v>
      </c>
      <c r="M47" s="41"/>
      <c r="N47" s="46" t="s">
        <v>20</v>
      </c>
      <c r="O47" s="50">
        <v>0</v>
      </c>
      <c r="P47" s="41">
        <v>2022</v>
      </c>
      <c r="Q47" s="48" t="s">
        <v>48</v>
      </c>
      <c r="R47" s="41"/>
    </row>
    <row r="48" spans="1:18" x14ac:dyDescent="0.35">
      <c r="A48" s="41"/>
      <c r="B48" s="46" t="s">
        <v>23</v>
      </c>
      <c r="C48" s="57">
        <v>1026762.9567999996</v>
      </c>
      <c r="D48" s="41">
        <v>2021</v>
      </c>
      <c r="E48" s="41" t="s">
        <v>75</v>
      </c>
      <c r="F48" s="41" t="s">
        <v>49</v>
      </c>
      <c r="G48" s="48" t="str">
        <f t="shared" si="0"/>
        <v>Guerrero</v>
      </c>
      <c r="H48" s="41"/>
      <c r="I48" s="46" t="s">
        <v>21</v>
      </c>
      <c r="J48" s="49" t="s">
        <v>39</v>
      </c>
      <c r="K48" s="41">
        <v>2022</v>
      </c>
      <c r="L48" s="48" t="s">
        <v>50</v>
      </c>
      <c r="M48" s="41"/>
      <c r="N48" s="46" t="s">
        <v>21</v>
      </c>
      <c r="O48" s="50">
        <v>0</v>
      </c>
      <c r="P48" s="41">
        <v>2022</v>
      </c>
      <c r="Q48" s="48" t="s">
        <v>48</v>
      </c>
      <c r="R48" s="41"/>
    </row>
    <row r="49" spans="1:18" x14ac:dyDescent="0.35">
      <c r="A49" s="41"/>
      <c r="B49" s="46" t="s">
        <v>12</v>
      </c>
      <c r="C49" s="57">
        <v>1355635.1600231794</v>
      </c>
      <c r="D49" s="41">
        <v>2022</v>
      </c>
      <c r="E49" s="41" t="s">
        <v>75</v>
      </c>
      <c r="F49" s="41" t="s">
        <v>49</v>
      </c>
      <c r="G49" s="48" t="str">
        <f t="shared" si="0"/>
        <v>Guerrero</v>
      </c>
      <c r="H49" s="41"/>
      <c r="I49" s="46" t="s">
        <v>22</v>
      </c>
      <c r="J49" s="49" t="s">
        <v>39</v>
      </c>
      <c r="K49" s="41">
        <v>2022</v>
      </c>
      <c r="L49" s="48" t="s">
        <v>50</v>
      </c>
      <c r="M49" s="41"/>
      <c r="N49" s="46" t="s">
        <v>22</v>
      </c>
      <c r="O49" s="50">
        <v>0</v>
      </c>
      <c r="P49" s="41">
        <v>2022</v>
      </c>
      <c r="Q49" s="48" t="s">
        <v>48</v>
      </c>
      <c r="R49" s="41"/>
    </row>
    <row r="50" spans="1:18" x14ac:dyDescent="0.35">
      <c r="A50" s="41"/>
      <c r="B50" s="46" t="s">
        <v>13</v>
      </c>
      <c r="C50" s="57">
        <v>963704.79999998992</v>
      </c>
      <c r="D50" s="41">
        <v>2022</v>
      </c>
      <c r="E50" s="41" t="s">
        <v>75</v>
      </c>
      <c r="F50" s="41" t="s">
        <v>49</v>
      </c>
      <c r="G50" s="48" t="str">
        <f t="shared" si="0"/>
        <v>Guerrero</v>
      </c>
      <c r="H50" s="41"/>
      <c r="I50" s="51" t="s">
        <v>23</v>
      </c>
      <c r="J50" s="52" t="s">
        <v>39</v>
      </c>
      <c r="K50" s="53">
        <v>2022</v>
      </c>
      <c r="L50" s="54" t="s">
        <v>50</v>
      </c>
      <c r="M50" s="41"/>
      <c r="N50" s="51" t="s">
        <v>23</v>
      </c>
      <c r="O50" s="55">
        <v>0</v>
      </c>
      <c r="P50" s="53">
        <v>2022</v>
      </c>
      <c r="Q50" s="54" t="s">
        <v>48</v>
      </c>
      <c r="R50" s="41"/>
    </row>
    <row r="51" spans="1:18" x14ac:dyDescent="0.35">
      <c r="A51" s="41"/>
      <c r="B51" s="46" t="s">
        <v>14</v>
      </c>
      <c r="C51" s="57">
        <v>252265.2000000012</v>
      </c>
      <c r="D51" s="41">
        <v>2022</v>
      </c>
      <c r="E51" s="41" t="s">
        <v>75</v>
      </c>
      <c r="F51" s="41" t="s">
        <v>49</v>
      </c>
      <c r="G51" s="48" t="str">
        <f t="shared" si="0"/>
        <v>Guerrero</v>
      </c>
      <c r="H51" s="41"/>
      <c r="I51" s="46" t="s">
        <v>12</v>
      </c>
      <c r="J51" s="49">
        <v>0.57999999999999996</v>
      </c>
      <c r="K51" s="41">
        <v>2022</v>
      </c>
      <c r="L51" s="48" t="s">
        <v>55</v>
      </c>
      <c r="M51" s="41"/>
      <c r="N51" s="46" t="s">
        <v>12</v>
      </c>
      <c r="O51" s="50">
        <v>1145539.6394197978</v>
      </c>
      <c r="P51" s="41">
        <v>2021</v>
      </c>
      <c r="Q51" s="48" t="s">
        <v>49</v>
      </c>
      <c r="R51" s="41"/>
    </row>
    <row r="52" spans="1:18" x14ac:dyDescent="0.35">
      <c r="A52" s="41"/>
      <c r="B52" s="46" t="s">
        <v>15</v>
      </c>
      <c r="C52" s="57">
        <v>144025.59999999992</v>
      </c>
      <c r="D52" s="41">
        <v>2022</v>
      </c>
      <c r="E52" s="41" t="s">
        <v>75</v>
      </c>
      <c r="F52" s="41" t="s">
        <v>49</v>
      </c>
      <c r="G52" s="48" t="str">
        <f t="shared" si="0"/>
        <v>Guerrero</v>
      </c>
      <c r="H52" s="41"/>
      <c r="I52" s="46" t="s">
        <v>13</v>
      </c>
      <c r="J52" s="49">
        <v>0.43100858587739566</v>
      </c>
      <c r="K52" s="41">
        <v>2022</v>
      </c>
      <c r="L52" s="48" t="s">
        <v>55</v>
      </c>
      <c r="M52" s="41"/>
      <c r="N52" s="46" t="s">
        <v>13</v>
      </c>
      <c r="O52" s="50">
        <v>265987.42431012029</v>
      </c>
      <c r="P52" s="41">
        <v>2021</v>
      </c>
      <c r="Q52" s="48" t="s">
        <v>49</v>
      </c>
      <c r="R52" s="41"/>
    </row>
    <row r="53" spans="1:18" x14ac:dyDescent="0.35">
      <c r="A53" s="41"/>
      <c r="B53" s="51" t="s">
        <v>16</v>
      </c>
      <c r="C53" s="58">
        <v>69936.399999999936</v>
      </c>
      <c r="D53" s="53">
        <v>2022</v>
      </c>
      <c r="E53" s="53" t="s">
        <v>75</v>
      </c>
      <c r="F53" s="53" t="s">
        <v>49</v>
      </c>
      <c r="G53" s="54" t="str">
        <f t="shared" si="0"/>
        <v>Guerrero</v>
      </c>
      <c r="H53" s="41"/>
      <c r="I53" s="46" t="s">
        <v>14</v>
      </c>
      <c r="J53" s="49">
        <v>0.38385351142596386</v>
      </c>
      <c r="K53" s="41">
        <v>2022</v>
      </c>
      <c r="L53" s="48" t="s">
        <v>55</v>
      </c>
      <c r="M53" s="41"/>
      <c r="N53" s="46" t="s">
        <v>14</v>
      </c>
      <c r="O53" s="50">
        <v>540880.88071550755</v>
      </c>
      <c r="P53" s="41">
        <v>2021</v>
      </c>
      <c r="Q53" s="48" t="s">
        <v>49</v>
      </c>
      <c r="R53" s="41"/>
    </row>
    <row r="54" spans="1:18" x14ac:dyDescent="0.35">
      <c r="A54" s="41"/>
      <c r="B54" s="46" t="s">
        <v>12</v>
      </c>
      <c r="C54" s="57">
        <v>2098717.2400000002</v>
      </c>
      <c r="D54" s="41">
        <v>2021</v>
      </c>
      <c r="E54" s="41" t="s">
        <v>75</v>
      </c>
      <c r="F54" s="41" t="s">
        <v>50</v>
      </c>
      <c r="G54" s="48" t="str">
        <f t="shared" si="0"/>
        <v>Yucatán</v>
      </c>
      <c r="H54" s="41"/>
      <c r="I54" s="46" t="s">
        <v>15</v>
      </c>
      <c r="J54" s="49">
        <v>0.13350061648473494</v>
      </c>
      <c r="K54" s="41">
        <v>2022</v>
      </c>
      <c r="L54" s="48" t="s">
        <v>55</v>
      </c>
      <c r="M54" s="41"/>
      <c r="N54" s="46" t="s">
        <v>15</v>
      </c>
      <c r="O54" s="50">
        <v>937092.25785984111</v>
      </c>
      <c r="P54" s="41">
        <v>2021</v>
      </c>
      <c r="Q54" s="48" t="s">
        <v>49</v>
      </c>
      <c r="R54" s="41"/>
    </row>
    <row r="55" spans="1:18" x14ac:dyDescent="0.35">
      <c r="A55" s="41"/>
      <c r="B55" s="46" t="s">
        <v>13</v>
      </c>
      <c r="C55" s="57">
        <v>2454959.04</v>
      </c>
      <c r="D55" s="41">
        <v>2021</v>
      </c>
      <c r="E55" s="41" t="s">
        <v>75</v>
      </c>
      <c r="F55" s="41" t="s">
        <v>50</v>
      </c>
      <c r="G55" s="48" t="str">
        <f t="shared" si="0"/>
        <v>Yucatán</v>
      </c>
      <c r="H55" s="41"/>
      <c r="I55" s="46" t="s">
        <v>16</v>
      </c>
      <c r="J55" s="49">
        <v>-5.2783458604365181E-2</v>
      </c>
      <c r="K55" s="41">
        <v>2022</v>
      </c>
      <c r="L55" s="48" t="s">
        <v>55</v>
      </c>
      <c r="M55" s="41"/>
      <c r="N55" s="46" t="s">
        <v>16</v>
      </c>
      <c r="O55" s="50">
        <v>-111903.75399035669</v>
      </c>
      <c r="P55" s="41">
        <v>2021</v>
      </c>
      <c r="Q55" s="48" t="s">
        <v>49</v>
      </c>
      <c r="R55" s="41"/>
    </row>
    <row r="56" spans="1:18" x14ac:dyDescent="0.35">
      <c r="A56" s="41"/>
      <c r="B56" s="46" t="s">
        <v>14</v>
      </c>
      <c r="C56" s="57">
        <v>1598886</v>
      </c>
      <c r="D56" s="41">
        <v>2021</v>
      </c>
      <c r="E56" s="41" t="s">
        <v>75</v>
      </c>
      <c r="F56" s="41" t="s">
        <v>50</v>
      </c>
      <c r="G56" s="48" t="str">
        <f t="shared" si="0"/>
        <v>Yucatán</v>
      </c>
      <c r="H56" s="41"/>
      <c r="I56" s="46" t="s">
        <v>17</v>
      </c>
      <c r="J56" s="49" t="s">
        <v>39</v>
      </c>
      <c r="K56" s="41">
        <v>2022</v>
      </c>
      <c r="L56" s="48" t="s">
        <v>55</v>
      </c>
      <c r="M56" s="41"/>
      <c r="N56" s="46" t="s">
        <v>17</v>
      </c>
      <c r="O56" s="50">
        <v>387451.57448040333</v>
      </c>
      <c r="P56" s="41">
        <v>2021</v>
      </c>
      <c r="Q56" s="48" t="s">
        <v>49</v>
      </c>
      <c r="R56" s="41"/>
    </row>
    <row r="57" spans="1:18" x14ac:dyDescent="0.35">
      <c r="A57" s="41"/>
      <c r="B57" s="46" t="s">
        <v>15</v>
      </c>
      <c r="C57" s="57">
        <v>1456728</v>
      </c>
      <c r="D57" s="41">
        <v>2021</v>
      </c>
      <c r="E57" s="41" t="s">
        <v>75</v>
      </c>
      <c r="F57" s="41" t="s">
        <v>50</v>
      </c>
      <c r="G57" s="48" t="str">
        <f t="shared" si="0"/>
        <v>Yucatán</v>
      </c>
      <c r="H57" s="41"/>
      <c r="I57" s="46" t="s">
        <v>18</v>
      </c>
      <c r="J57" s="49" t="s">
        <v>39</v>
      </c>
      <c r="K57" s="41">
        <v>2022</v>
      </c>
      <c r="L57" s="48" t="s">
        <v>55</v>
      </c>
      <c r="M57" s="41"/>
      <c r="N57" s="46" t="s">
        <v>18</v>
      </c>
      <c r="O57" s="50">
        <v>616503.62314160273</v>
      </c>
      <c r="P57" s="41">
        <v>2021</v>
      </c>
      <c r="Q57" s="48" t="s">
        <v>49</v>
      </c>
      <c r="R57" s="41"/>
    </row>
    <row r="58" spans="1:18" x14ac:dyDescent="0.35">
      <c r="A58" s="41"/>
      <c r="B58" s="46" t="s">
        <v>16</v>
      </c>
      <c r="C58" s="57">
        <v>1727472</v>
      </c>
      <c r="D58" s="41">
        <v>2021</v>
      </c>
      <c r="E58" s="41" t="s">
        <v>75</v>
      </c>
      <c r="F58" s="41" t="s">
        <v>50</v>
      </c>
      <c r="G58" s="48" t="str">
        <f t="shared" si="0"/>
        <v>Yucatán</v>
      </c>
      <c r="H58" s="41"/>
      <c r="I58" s="46" t="s">
        <v>19</v>
      </c>
      <c r="J58" s="49" t="s">
        <v>39</v>
      </c>
      <c r="K58" s="41">
        <v>2022</v>
      </c>
      <c r="L58" s="48" t="s">
        <v>55</v>
      </c>
      <c r="M58" s="41"/>
      <c r="N58" s="46" t="s">
        <v>19</v>
      </c>
      <c r="O58" s="50">
        <v>802328.35751272645</v>
      </c>
      <c r="P58" s="41">
        <v>2021</v>
      </c>
      <c r="Q58" s="48" t="s">
        <v>49</v>
      </c>
      <c r="R58" s="41"/>
    </row>
    <row r="59" spans="1:18" x14ac:dyDescent="0.35">
      <c r="A59" s="41"/>
      <c r="B59" s="46" t="s">
        <v>17</v>
      </c>
      <c r="C59" s="57">
        <v>2135792</v>
      </c>
      <c r="D59" s="41">
        <v>2021</v>
      </c>
      <c r="E59" s="41" t="s">
        <v>75</v>
      </c>
      <c r="F59" s="41" t="s">
        <v>50</v>
      </c>
      <c r="G59" s="48" t="str">
        <f t="shared" si="0"/>
        <v>Yucatán</v>
      </c>
      <c r="H59" s="41"/>
      <c r="I59" s="46" t="s">
        <v>20</v>
      </c>
      <c r="J59" s="49" t="s">
        <v>39</v>
      </c>
      <c r="K59" s="41">
        <v>2022</v>
      </c>
      <c r="L59" s="48" t="s">
        <v>55</v>
      </c>
      <c r="M59" s="41"/>
      <c r="N59" s="46" t="s">
        <v>20</v>
      </c>
      <c r="O59" s="50">
        <v>133358.35043934966</v>
      </c>
      <c r="P59" s="41">
        <v>2021</v>
      </c>
      <c r="Q59" s="48" t="s">
        <v>49</v>
      </c>
      <c r="R59" s="41"/>
    </row>
    <row r="60" spans="1:18" x14ac:dyDescent="0.35">
      <c r="A60" s="41"/>
      <c r="B60" s="46" t="s">
        <v>18</v>
      </c>
      <c r="C60" s="57">
        <v>3897436.2312000399</v>
      </c>
      <c r="D60" s="41">
        <v>2021</v>
      </c>
      <c r="E60" s="41" t="s">
        <v>75</v>
      </c>
      <c r="F60" s="41" t="s">
        <v>50</v>
      </c>
      <c r="G60" s="48" t="str">
        <f t="shared" si="0"/>
        <v>Yucatán</v>
      </c>
      <c r="H60" s="41"/>
      <c r="I60" s="46" t="s">
        <v>21</v>
      </c>
      <c r="J60" s="49" t="s">
        <v>39</v>
      </c>
      <c r="K60" s="41">
        <v>2022</v>
      </c>
      <c r="L60" s="48" t="s">
        <v>55</v>
      </c>
      <c r="M60" s="41"/>
      <c r="N60" s="46" t="s">
        <v>21</v>
      </c>
      <c r="O60" s="50">
        <v>536891.25170218863</v>
      </c>
      <c r="P60" s="41">
        <v>2021</v>
      </c>
      <c r="Q60" s="48" t="s">
        <v>49</v>
      </c>
      <c r="R60" s="41"/>
    </row>
    <row r="61" spans="1:18" x14ac:dyDescent="0.35">
      <c r="A61" s="41"/>
      <c r="B61" s="46" t="s">
        <v>19</v>
      </c>
      <c r="C61" s="57">
        <v>5461790.4000001252</v>
      </c>
      <c r="D61" s="41">
        <v>2021</v>
      </c>
      <c r="E61" s="41" t="s">
        <v>75</v>
      </c>
      <c r="F61" s="41" t="s">
        <v>50</v>
      </c>
      <c r="G61" s="48" t="str">
        <f t="shared" si="0"/>
        <v>Yucatán</v>
      </c>
      <c r="H61" s="41"/>
      <c r="I61" s="46" t="s">
        <v>22</v>
      </c>
      <c r="J61" s="49" t="s">
        <v>39</v>
      </c>
      <c r="K61" s="41">
        <v>2022</v>
      </c>
      <c r="L61" s="48" t="s">
        <v>55</v>
      </c>
      <c r="M61" s="41"/>
      <c r="N61" s="46" t="s">
        <v>22</v>
      </c>
      <c r="O61" s="50">
        <v>428993.23102760292</v>
      </c>
      <c r="P61" s="41">
        <v>2021</v>
      </c>
      <c r="Q61" s="48" t="s">
        <v>49</v>
      </c>
      <c r="R61" s="41"/>
    </row>
    <row r="62" spans="1:18" x14ac:dyDescent="0.35">
      <c r="A62" s="41"/>
      <c r="B62" s="46" t="s">
        <v>20</v>
      </c>
      <c r="C62" s="57">
        <v>2435187.9999999614</v>
      </c>
      <c r="D62" s="41">
        <v>2021</v>
      </c>
      <c r="E62" s="41" t="s">
        <v>75</v>
      </c>
      <c r="F62" s="41" t="s">
        <v>50</v>
      </c>
      <c r="G62" s="48" t="str">
        <f t="shared" si="0"/>
        <v>Yucatán</v>
      </c>
      <c r="H62" s="41"/>
      <c r="I62" s="51" t="s">
        <v>23</v>
      </c>
      <c r="J62" s="52" t="s">
        <v>39</v>
      </c>
      <c r="K62" s="53">
        <v>2022</v>
      </c>
      <c r="L62" s="54" t="s">
        <v>55</v>
      </c>
      <c r="M62" s="41"/>
      <c r="N62" s="51" t="s">
        <v>23</v>
      </c>
      <c r="O62" s="55">
        <v>-439981.76302385534</v>
      </c>
      <c r="P62" s="53">
        <v>2021</v>
      </c>
      <c r="Q62" s="54" t="s">
        <v>49</v>
      </c>
      <c r="R62" s="41"/>
    </row>
    <row r="63" spans="1:18" x14ac:dyDescent="0.35">
      <c r="A63" s="41"/>
      <c r="B63" s="46" t="s">
        <v>21</v>
      </c>
      <c r="C63" s="57">
        <v>3294267.76</v>
      </c>
      <c r="D63" s="41">
        <v>2021</v>
      </c>
      <c r="E63" s="41" t="s">
        <v>75</v>
      </c>
      <c r="F63" s="41" t="s">
        <v>50</v>
      </c>
      <c r="G63" s="48" t="str">
        <f t="shared" si="0"/>
        <v>Yucatán</v>
      </c>
      <c r="H63" s="41"/>
      <c r="I63" s="46" t="s">
        <v>12</v>
      </c>
      <c r="J63" s="49">
        <v>0.43</v>
      </c>
      <c r="K63" s="41">
        <v>2022</v>
      </c>
      <c r="L63" s="48" t="s">
        <v>51</v>
      </c>
      <c r="M63" s="41"/>
      <c r="N63" s="46" t="s">
        <v>12</v>
      </c>
      <c r="O63" s="50">
        <v>3490679.4304299778</v>
      </c>
      <c r="P63" s="41">
        <v>2022</v>
      </c>
      <c r="Q63" s="48" t="s">
        <v>49</v>
      </c>
      <c r="R63" s="41"/>
    </row>
    <row r="64" spans="1:18" x14ac:dyDescent="0.35">
      <c r="A64" s="41"/>
      <c r="B64" s="46" t="s">
        <v>22</v>
      </c>
      <c r="C64" s="57">
        <v>1328866.999999993</v>
      </c>
      <c r="D64" s="41">
        <v>2021</v>
      </c>
      <c r="E64" s="41" t="s">
        <v>75</v>
      </c>
      <c r="F64" s="41" t="s">
        <v>50</v>
      </c>
      <c r="G64" s="48" t="str">
        <f t="shared" si="0"/>
        <v>Yucatán</v>
      </c>
      <c r="H64" s="41"/>
      <c r="I64" s="46" t="s">
        <v>13</v>
      </c>
      <c r="J64" s="49">
        <v>0.34074443063073639</v>
      </c>
      <c r="K64" s="41">
        <v>2022</v>
      </c>
      <c r="L64" s="48" t="s">
        <v>51</v>
      </c>
      <c r="M64" s="41"/>
      <c r="N64" s="46" t="s">
        <v>13</v>
      </c>
      <c r="O64" s="50">
        <v>724412.1912750192</v>
      </c>
      <c r="P64" s="41">
        <v>2022</v>
      </c>
      <c r="Q64" s="48" t="s">
        <v>49</v>
      </c>
      <c r="R64" s="41"/>
    </row>
    <row r="65" spans="1:18" x14ac:dyDescent="0.35">
      <c r="A65" s="41"/>
      <c r="B65" s="46" t="s">
        <v>23</v>
      </c>
      <c r="C65" s="57">
        <v>12919722.719999813</v>
      </c>
      <c r="D65" s="41">
        <v>2021</v>
      </c>
      <c r="E65" s="41" t="s">
        <v>75</v>
      </c>
      <c r="F65" s="41" t="s">
        <v>50</v>
      </c>
      <c r="G65" s="48" t="str">
        <f t="shared" si="0"/>
        <v>Yucatán</v>
      </c>
      <c r="H65" s="41"/>
      <c r="I65" s="46" t="s">
        <v>14</v>
      </c>
      <c r="J65" s="49">
        <v>0.30646411214174568</v>
      </c>
      <c r="K65" s="41">
        <v>2022</v>
      </c>
      <c r="L65" s="48" t="s">
        <v>51</v>
      </c>
      <c r="M65" s="41"/>
      <c r="N65" s="46" t="s">
        <v>14</v>
      </c>
      <c r="O65" s="50">
        <v>425338.86361439328</v>
      </c>
      <c r="P65" s="41">
        <v>2022</v>
      </c>
      <c r="Q65" s="48" t="s">
        <v>49</v>
      </c>
      <c r="R65" s="41"/>
    </row>
    <row r="66" spans="1:18" x14ac:dyDescent="0.35">
      <c r="A66" s="41"/>
      <c r="B66" s="46" t="s">
        <v>12</v>
      </c>
      <c r="C66" s="57">
        <v>7787393.2000000421</v>
      </c>
      <c r="D66" s="41">
        <v>2022</v>
      </c>
      <c r="E66" s="41" t="s">
        <v>75</v>
      </c>
      <c r="F66" s="41" t="s">
        <v>50</v>
      </c>
      <c r="G66" s="48" t="str">
        <f t="shared" si="0"/>
        <v>Yucatán</v>
      </c>
      <c r="H66" s="41"/>
      <c r="I66" s="46" t="s">
        <v>15</v>
      </c>
      <c r="J66" s="49">
        <v>0.38769938771245077</v>
      </c>
      <c r="K66" s="41">
        <v>2022</v>
      </c>
      <c r="L66" s="48" t="s">
        <v>51</v>
      </c>
      <c r="M66" s="41"/>
      <c r="N66" s="46" t="s">
        <v>15</v>
      </c>
      <c r="O66" s="50">
        <v>361123.53003931302</v>
      </c>
      <c r="P66" s="41">
        <v>2022</v>
      </c>
      <c r="Q66" s="48" t="s">
        <v>49</v>
      </c>
      <c r="R66" s="41"/>
    </row>
    <row r="67" spans="1:18" x14ac:dyDescent="0.35">
      <c r="A67" s="41"/>
      <c r="B67" s="46" t="s">
        <v>13</v>
      </c>
      <c r="C67" s="57">
        <v>5153073.8000000045</v>
      </c>
      <c r="D67" s="41">
        <v>2022</v>
      </c>
      <c r="E67" s="41" t="s">
        <v>75</v>
      </c>
      <c r="F67" s="41" t="s">
        <v>50</v>
      </c>
      <c r="G67" s="48" t="str">
        <f t="shared" ref="G67:G130" si="2">VLOOKUP(F67,$T$3:$U$11,2,0)</f>
        <v>Yucatán</v>
      </c>
      <c r="H67" s="41"/>
      <c r="I67" s="46" t="s">
        <v>16</v>
      </c>
      <c r="J67" s="49">
        <v>-6.5505310386073587E-2</v>
      </c>
      <c r="K67" s="41">
        <v>2022</v>
      </c>
      <c r="L67" s="48" t="s">
        <v>51</v>
      </c>
      <c r="M67" s="41"/>
      <c r="N67" s="46" t="s">
        <v>16</v>
      </c>
      <c r="O67" s="50">
        <v>-294792.75264131743</v>
      </c>
      <c r="P67" s="41">
        <v>2022</v>
      </c>
      <c r="Q67" s="48" t="s">
        <v>49</v>
      </c>
      <c r="R67" s="41"/>
    </row>
    <row r="68" spans="1:18" x14ac:dyDescent="0.35">
      <c r="A68" s="41"/>
      <c r="B68" s="46" t="s">
        <v>14</v>
      </c>
      <c r="C68" s="57">
        <v>1377627.5999999996</v>
      </c>
      <c r="D68" s="41">
        <v>2022</v>
      </c>
      <c r="E68" s="41" t="s">
        <v>75</v>
      </c>
      <c r="F68" s="41" t="s">
        <v>50</v>
      </c>
      <c r="G68" s="48" t="str">
        <f t="shared" si="2"/>
        <v>Yucatán</v>
      </c>
      <c r="H68" s="41"/>
      <c r="I68" s="46" t="s">
        <v>17</v>
      </c>
      <c r="J68" s="49" t="s">
        <v>39</v>
      </c>
      <c r="K68" s="41">
        <v>2022</v>
      </c>
      <c r="L68" s="48" t="s">
        <v>51</v>
      </c>
      <c r="M68" s="41"/>
      <c r="N68" s="46" t="s">
        <v>17</v>
      </c>
      <c r="O68" s="50">
        <v>0</v>
      </c>
      <c r="P68" s="41">
        <v>2022</v>
      </c>
      <c r="Q68" s="48" t="s">
        <v>49</v>
      </c>
      <c r="R68" s="41"/>
    </row>
    <row r="69" spans="1:18" x14ac:dyDescent="0.35">
      <c r="A69" s="41"/>
      <c r="B69" s="46" t="s">
        <v>15</v>
      </c>
      <c r="C69" s="57">
        <v>467601.8000000004</v>
      </c>
      <c r="D69" s="41">
        <v>2022</v>
      </c>
      <c r="E69" s="41" t="s">
        <v>75</v>
      </c>
      <c r="F69" s="41" t="s">
        <v>50</v>
      </c>
      <c r="G69" s="48" t="str">
        <f t="shared" si="2"/>
        <v>Yucatán</v>
      </c>
      <c r="H69" s="41"/>
      <c r="I69" s="46" t="s">
        <v>18</v>
      </c>
      <c r="J69" s="49" t="s">
        <v>39</v>
      </c>
      <c r="K69" s="41">
        <v>2022</v>
      </c>
      <c r="L69" s="48" t="s">
        <v>51</v>
      </c>
      <c r="M69" s="41"/>
      <c r="N69" s="46" t="s">
        <v>18</v>
      </c>
      <c r="O69" s="50">
        <v>0</v>
      </c>
      <c r="P69" s="41">
        <v>2022</v>
      </c>
      <c r="Q69" s="48" t="s">
        <v>49</v>
      </c>
      <c r="R69" s="41"/>
    </row>
    <row r="70" spans="1:18" x14ac:dyDescent="0.35">
      <c r="A70" s="41"/>
      <c r="B70" s="51" t="s">
        <v>16</v>
      </c>
      <c r="C70" s="58">
        <v>354907.80000000045</v>
      </c>
      <c r="D70" s="53">
        <v>2022</v>
      </c>
      <c r="E70" s="53" t="s">
        <v>75</v>
      </c>
      <c r="F70" s="53" t="s">
        <v>50</v>
      </c>
      <c r="G70" s="54" t="str">
        <f t="shared" si="2"/>
        <v>Yucatán</v>
      </c>
      <c r="H70" s="41"/>
      <c r="I70" s="46" t="s">
        <v>19</v>
      </c>
      <c r="J70" s="49" t="s">
        <v>39</v>
      </c>
      <c r="K70" s="41">
        <v>2022</v>
      </c>
      <c r="L70" s="48" t="s">
        <v>51</v>
      </c>
      <c r="M70" s="41"/>
      <c r="N70" s="46" t="s">
        <v>19</v>
      </c>
      <c r="O70" s="50">
        <v>0</v>
      </c>
      <c r="P70" s="41">
        <v>2022</v>
      </c>
      <c r="Q70" s="48" t="s">
        <v>49</v>
      </c>
      <c r="R70" s="41"/>
    </row>
    <row r="71" spans="1:18" x14ac:dyDescent="0.35">
      <c r="A71" s="41"/>
      <c r="B71" s="46" t="s">
        <v>12</v>
      </c>
      <c r="C71" s="57">
        <v>366328</v>
      </c>
      <c r="D71" s="41">
        <v>2021</v>
      </c>
      <c r="E71" s="41" t="s">
        <v>75</v>
      </c>
      <c r="F71" s="41" t="s">
        <v>55</v>
      </c>
      <c r="G71" s="48" t="str">
        <f t="shared" si="2"/>
        <v>Veracruz</v>
      </c>
      <c r="H71" s="41"/>
      <c r="I71" s="46" t="s">
        <v>20</v>
      </c>
      <c r="J71" s="49" t="s">
        <v>39</v>
      </c>
      <c r="K71" s="41">
        <v>2022</v>
      </c>
      <c r="L71" s="48" t="s">
        <v>51</v>
      </c>
      <c r="M71" s="41"/>
      <c r="N71" s="46" t="s">
        <v>20</v>
      </c>
      <c r="O71" s="50">
        <v>0</v>
      </c>
      <c r="P71" s="41">
        <v>2022</v>
      </c>
      <c r="Q71" s="48" t="s">
        <v>49</v>
      </c>
      <c r="R71" s="41"/>
    </row>
    <row r="72" spans="1:18" x14ac:dyDescent="0.35">
      <c r="A72" s="41"/>
      <c r="B72" s="46" t="s">
        <v>13</v>
      </c>
      <c r="C72" s="57">
        <v>396546</v>
      </c>
      <c r="D72" s="41">
        <v>2021</v>
      </c>
      <c r="E72" s="41" t="s">
        <v>75</v>
      </c>
      <c r="F72" s="41" t="s">
        <v>55</v>
      </c>
      <c r="G72" s="48" t="str">
        <f t="shared" si="2"/>
        <v>Veracruz</v>
      </c>
      <c r="H72" s="41"/>
      <c r="I72" s="46" t="s">
        <v>21</v>
      </c>
      <c r="J72" s="49" t="s">
        <v>39</v>
      </c>
      <c r="K72" s="41">
        <v>2022</v>
      </c>
      <c r="L72" s="48" t="s">
        <v>51</v>
      </c>
      <c r="M72" s="41"/>
      <c r="N72" s="46" t="s">
        <v>21</v>
      </c>
      <c r="O72" s="50">
        <v>0</v>
      </c>
      <c r="P72" s="41">
        <v>2022</v>
      </c>
      <c r="Q72" s="48" t="s">
        <v>49</v>
      </c>
      <c r="R72" s="41"/>
    </row>
    <row r="73" spans="1:18" x14ac:dyDescent="0.35">
      <c r="A73" s="41"/>
      <c r="B73" s="46" t="s">
        <v>14</v>
      </c>
      <c r="C73" s="57">
        <v>214078</v>
      </c>
      <c r="D73" s="41">
        <v>2021</v>
      </c>
      <c r="E73" s="41" t="s">
        <v>75</v>
      </c>
      <c r="F73" s="41" t="s">
        <v>55</v>
      </c>
      <c r="G73" s="48" t="str">
        <f t="shared" si="2"/>
        <v>Veracruz</v>
      </c>
      <c r="H73" s="41"/>
      <c r="I73" s="46" t="s">
        <v>22</v>
      </c>
      <c r="J73" s="49" t="s">
        <v>39</v>
      </c>
      <c r="K73" s="41">
        <v>2022</v>
      </c>
      <c r="L73" s="48" t="s">
        <v>51</v>
      </c>
      <c r="M73" s="41"/>
      <c r="N73" s="46" t="s">
        <v>22</v>
      </c>
      <c r="O73" s="50">
        <v>0</v>
      </c>
      <c r="P73" s="41">
        <v>2022</v>
      </c>
      <c r="Q73" s="48" t="s">
        <v>49</v>
      </c>
      <c r="R73" s="41"/>
    </row>
    <row r="74" spans="1:18" x14ac:dyDescent="0.35">
      <c r="A74" s="41"/>
      <c r="B74" s="46" t="s">
        <v>15</v>
      </c>
      <c r="C74" s="57">
        <v>201144</v>
      </c>
      <c r="D74" s="41">
        <v>2021</v>
      </c>
      <c r="E74" s="41" t="s">
        <v>75</v>
      </c>
      <c r="F74" s="41" t="s">
        <v>55</v>
      </c>
      <c r="G74" s="48" t="str">
        <f t="shared" si="2"/>
        <v>Veracruz</v>
      </c>
      <c r="H74" s="41"/>
      <c r="I74" s="51" t="s">
        <v>23</v>
      </c>
      <c r="J74" s="52" t="s">
        <v>39</v>
      </c>
      <c r="K74" s="53">
        <v>2022</v>
      </c>
      <c r="L74" s="54" t="s">
        <v>51</v>
      </c>
      <c r="M74" s="41"/>
      <c r="N74" s="51" t="s">
        <v>23</v>
      </c>
      <c r="O74" s="55">
        <v>0</v>
      </c>
      <c r="P74" s="53">
        <v>2022</v>
      </c>
      <c r="Q74" s="54" t="s">
        <v>49</v>
      </c>
      <c r="R74" s="41"/>
    </row>
    <row r="75" spans="1:18" x14ac:dyDescent="0.35">
      <c r="A75" s="41"/>
      <c r="B75" s="46" t="s">
        <v>16</v>
      </c>
      <c r="C75" s="57">
        <v>103008</v>
      </c>
      <c r="D75" s="41">
        <v>2021</v>
      </c>
      <c r="E75" s="41" t="s">
        <v>75</v>
      </c>
      <c r="F75" s="41" t="s">
        <v>55</v>
      </c>
      <c r="G75" s="48" t="str">
        <f t="shared" si="2"/>
        <v>Veracruz</v>
      </c>
      <c r="H75" s="41"/>
      <c r="I75" s="46" t="s">
        <v>12</v>
      </c>
      <c r="J75" s="49">
        <v>0.42</v>
      </c>
      <c r="K75" s="41">
        <v>2022</v>
      </c>
      <c r="L75" s="48" t="s">
        <v>52</v>
      </c>
      <c r="M75" s="41"/>
      <c r="N75" s="46" t="s">
        <v>12</v>
      </c>
      <c r="O75" s="50">
        <v>4619398.8454859853</v>
      </c>
      <c r="P75" s="41">
        <v>2021</v>
      </c>
      <c r="Q75" s="48" t="s">
        <v>50</v>
      </c>
      <c r="R75" s="41"/>
    </row>
    <row r="76" spans="1:18" x14ac:dyDescent="0.35">
      <c r="A76" s="41"/>
      <c r="B76" s="46" t="s">
        <v>17</v>
      </c>
      <c r="C76" s="57">
        <v>80214</v>
      </c>
      <c r="D76" s="41">
        <v>2021</v>
      </c>
      <c r="E76" s="41" t="s">
        <v>75</v>
      </c>
      <c r="F76" s="41" t="s">
        <v>55</v>
      </c>
      <c r="G76" s="48" t="str">
        <f t="shared" si="2"/>
        <v>Veracruz</v>
      </c>
      <c r="H76" s="41"/>
      <c r="I76" s="46" t="s">
        <v>13</v>
      </c>
      <c r="J76" s="49">
        <v>0.32010011168083741</v>
      </c>
      <c r="K76" s="41">
        <v>2022</v>
      </c>
      <c r="L76" s="48" t="s">
        <v>52</v>
      </c>
      <c r="M76" s="41"/>
      <c r="N76" s="46" t="s">
        <v>13</v>
      </c>
      <c r="O76" s="50">
        <v>2525414.6900265422</v>
      </c>
      <c r="P76" s="41">
        <v>2021</v>
      </c>
      <c r="Q76" s="48" t="s">
        <v>50</v>
      </c>
      <c r="R76" s="41"/>
    </row>
    <row r="77" spans="1:18" x14ac:dyDescent="0.35">
      <c r="A77" s="41"/>
      <c r="B77" s="46" t="s">
        <v>18</v>
      </c>
      <c r="C77" s="57">
        <v>164256</v>
      </c>
      <c r="D77" s="41">
        <v>2021</v>
      </c>
      <c r="E77" s="41" t="s">
        <v>75</v>
      </c>
      <c r="F77" s="41" t="s">
        <v>55</v>
      </c>
      <c r="G77" s="48" t="str">
        <f t="shared" si="2"/>
        <v>Veracruz</v>
      </c>
      <c r="H77" s="41"/>
      <c r="I77" s="46" t="s">
        <v>14</v>
      </c>
      <c r="J77" s="49">
        <v>0.11381324756050143</v>
      </c>
      <c r="K77" s="41">
        <v>2022</v>
      </c>
      <c r="L77" s="48" t="s">
        <v>52</v>
      </c>
      <c r="M77" s="41"/>
      <c r="N77" s="46" t="s">
        <v>14</v>
      </c>
      <c r="O77" s="50">
        <v>1886143.6476835134</v>
      </c>
      <c r="P77" s="41">
        <v>2021</v>
      </c>
      <c r="Q77" s="48" t="s">
        <v>50</v>
      </c>
      <c r="R77" s="41"/>
    </row>
    <row r="78" spans="1:18" x14ac:dyDescent="0.35">
      <c r="A78" s="41"/>
      <c r="B78" s="46" t="s">
        <v>19</v>
      </c>
      <c r="C78" s="57">
        <v>368532</v>
      </c>
      <c r="D78" s="41">
        <v>2021</v>
      </c>
      <c r="E78" s="41" t="s">
        <v>75</v>
      </c>
      <c r="F78" s="41" t="s">
        <v>55</v>
      </c>
      <c r="G78" s="48" t="str">
        <f t="shared" si="2"/>
        <v>Veracruz</v>
      </c>
      <c r="H78" s="41"/>
      <c r="I78" s="46" t="s">
        <v>15</v>
      </c>
      <c r="J78" s="49">
        <v>-8.8074018465169782E-2</v>
      </c>
      <c r="K78" s="41">
        <v>2022</v>
      </c>
      <c r="L78" s="48" t="s">
        <v>52</v>
      </c>
      <c r="M78" s="41"/>
      <c r="N78" s="46" t="s">
        <v>15</v>
      </c>
      <c r="O78" s="50">
        <v>2120701.9254852608</v>
      </c>
      <c r="P78" s="41">
        <v>2021</v>
      </c>
      <c r="Q78" s="48" t="s">
        <v>50</v>
      </c>
      <c r="R78" s="41"/>
    </row>
    <row r="79" spans="1:18" x14ac:dyDescent="0.35">
      <c r="A79" s="41"/>
      <c r="B79" s="46" t="s">
        <v>20</v>
      </c>
      <c r="C79" s="57">
        <v>156658</v>
      </c>
      <c r="D79" s="41">
        <v>2021</v>
      </c>
      <c r="E79" s="41" t="s">
        <v>75</v>
      </c>
      <c r="F79" s="41" t="s">
        <v>55</v>
      </c>
      <c r="G79" s="48" t="str">
        <f t="shared" si="2"/>
        <v>Veracruz</v>
      </c>
      <c r="H79" s="41"/>
      <c r="I79" s="46" t="s">
        <v>16</v>
      </c>
      <c r="J79" s="49">
        <v>-2.0175556944376272</v>
      </c>
      <c r="K79" s="41">
        <v>2022</v>
      </c>
      <c r="L79" s="48" t="s">
        <v>52</v>
      </c>
      <c r="M79" s="41"/>
      <c r="N79" s="46" t="s">
        <v>16</v>
      </c>
      <c r="O79" s="50">
        <v>423830.15750097297</v>
      </c>
      <c r="P79" s="41">
        <v>2021</v>
      </c>
      <c r="Q79" s="48" t="s">
        <v>50</v>
      </c>
      <c r="R79" s="41"/>
    </row>
    <row r="80" spans="1:18" x14ac:dyDescent="0.35">
      <c r="A80" s="41"/>
      <c r="B80" s="46" t="s">
        <v>21</v>
      </c>
      <c r="C80" s="57">
        <v>79692</v>
      </c>
      <c r="D80" s="41">
        <v>2021</v>
      </c>
      <c r="E80" s="41" t="s">
        <v>75</v>
      </c>
      <c r="F80" s="41" t="s">
        <v>55</v>
      </c>
      <c r="G80" s="48" t="str">
        <f t="shared" si="2"/>
        <v>Veracruz</v>
      </c>
      <c r="H80" s="41"/>
      <c r="I80" s="46" t="s">
        <v>17</v>
      </c>
      <c r="J80" s="49" t="s">
        <v>39</v>
      </c>
      <c r="K80" s="41">
        <v>2022</v>
      </c>
      <c r="L80" s="48" t="s">
        <v>52</v>
      </c>
      <c r="M80" s="41"/>
      <c r="N80" s="46" t="s">
        <v>17</v>
      </c>
      <c r="O80" s="50">
        <v>3036091.1458174279</v>
      </c>
      <c r="P80" s="41">
        <v>2021</v>
      </c>
      <c r="Q80" s="48" t="s">
        <v>50</v>
      </c>
      <c r="R80" s="41"/>
    </row>
    <row r="81" spans="1:18" x14ac:dyDescent="0.35">
      <c r="A81" s="41"/>
      <c r="B81" s="46" t="s">
        <v>22</v>
      </c>
      <c r="C81" s="57">
        <v>77366.200000000026</v>
      </c>
      <c r="D81" s="41">
        <v>2021</v>
      </c>
      <c r="E81" s="41" t="s">
        <v>75</v>
      </c>
      <c r="F81" s="41" t="s">
        <v>55</v>
      </c>
      <c r="G81" s="48" t="str">
        <f t="shared" si="2"/>
        <v>Veracruz</v>
      </c>
      <c r="H81" s="41"/>
      <c r="I81" s="46" t="s">
        <v>18</v>
      </c>
      <c r="J81" s="49" t="s">
        <v>39</v>
      </c>
      <c r="K81" s="41">
        <v>2022</v>
      </c>
      <c r="L81" s="48" t="s">
        <v>52</v>
      </c>
      <c r="M81" s="41"/>
      <c r="N81" s="46" t="s">
        <v>18</v>
      </c>
      <c r="O81" s="50">
        <v>4030556.2609253312</v>
      </c>
      <c r="P81" s="41">
        <v>2021</v>
      </c>
      <c r="Q81" s="48" t="s">
        <v>50</v>
      </c>
      <c r="R81" s="41"/>
    </row>
    <row r="82" spans="1:18" x14ac:dyDescent="0.35">
      <c r="A82" s="41"/>
      <c r="B82" s="46" t="s">
        <v>23</v>
      </c>
      <c r="C82" s="57">
        <v>361920</v>
      </c>
      <c r="D82" s="41">
        <v>2021</v>
      </c>
      <c r="E82" s="41" t="s">
        <v>75</v>
      </c>
      <c r="F82" s="41" t="s">
        <v>55</v>
      </c>
      <c r="G82" s="48" t="str">
        <f t="shared" si="2"/>
        <v>Veracruz</v>
      </c>
      <c r="H82" s="41"/>
      <c r="I82" s="46" t="s">
        <v>19</v>
      </c>
      <c r="J82" s="49" t="s">
        <v>39</v>
      </c>
      <c r="K82" s="41">
        <v>2022</v>
      </c>
      <c r="L82" s="48" t="s">
        <v>52</v>
      </c>
      <c r="M82" s="41"/>
      <c r="N82" s="46" t="s">
        <v>19</v>
      </c>
      <c r="O82" s="50">
        <v>5978971.5589281805</v>
      </c>
      <c r="P82" s="41">
        <v>2021</v>
      </c>
      <c r="Q82" s="48" t="s">
        <v>50</v>
      </c>
      <c r="R82" s="41"/>
    </row>
    <row r="83" spans="1:18" x14ac:dyDescent="0.35">
      <c r="A83" s="41"/>
      <c r="B83" s="46" t="s">
        <v>12</v>
      </c>
      <c r="C83" s="57">
        <v>1285628</v>
      </c>
      <c r="D83" s="41">
        <v>2022</v>
      </c>
      <c r="E83" s="41" t="s">
        <v>75</v>
      </c>
      <c r="F83" s="41" t="s">
        <v>55</v>
      </c>
      <c r="G83" s="48" t="str">
        <f t="shared" si="2"/>
        <v>Veracruz</v>
      </c>
      <c r="H83" s="41"/>
      <c r="I83" s="46" t="s">
        <v>20</v>
      </c>
      <c r="J83" s="49" t="s">
        <v>39</v>
      </c>
      <c r="K83" s="41">
        <v>2022</v>
      </c>
      <c r="L83" s="48" t="s">
        <v>52</v>
      </c>
      <c r="M83" s="41"/>
      <c r="N83" s="46" t="s">
        <v>20</v>
      </c>
      <c r="O83" s="50">
        <v>2091893.2234196505</v>
      </c>
      <c r="P83" s="41">
        <v>2021</v>
      </c>
      <c r="Q83" s="48" t="s">
        <v>50</v>
      </c>
      <c r="R83" s="41"/>
    </row>
    <row r="84" spans="1:18" x14ac:dyDescent="0.35">
      <c r="A84" s="41"/>
      <c r="B84" s="46" t="s">
        <v>13</v>
      </c>
      <c r="C84" s="57">
        <v>805040</v>
      </c>
      <c r="D84" s="41">
        <v>2022</v>
      </c>
      <c r="E84" s="41" t="s">
        <v>75</v>
      </c>
      <c r="F84" s="41" t="s">
        <v>55</v>
      </c>
      <c r="G84" s="48" t="str">
        <f t="shared" si="2"/>
        <v>Veracruz</v>
      </c>
      <c r="H84" s="41"/>
      <c r="I84" s="46" t="s">
        <v>21</v>
      </c>
      <c r="J84" s="49" t="s">
        <v>39</v>
      </c>
      <c r="K84" s="41">
        <v>2022</v>
      </c>
      <c r="L84" s="48" t="s">
        <v>52</v>
      </c>
      <c r="M84" s="41"/>
      <c r="N84" s="46" t="s">
        <v>21</v>
      </c>
      <c r="O84" s="50">
        <v>3221987.3465207554</v>
      </c>
      <c r="P84" s="41">
        <v>2021</v>
      </c>
      <c r="Q84" s="48" t="s">
        <v>50</v>
      </c>
      <c r="R84" s="41"/>
    </row>
    <row r="85" spans="1:18" x14ac:dyDescent="0.35">
      <c r="A85" s="41"/>
      <c r="B85" s="46" t="s">
        <v>14</v>
      </c>
      <c r="C85" s="57">
        <v>341214</v>
      </c>
      <c r="D85" s="41">
        <v>2022</v>
      </c>
      <c r="E85" s="41" t="s">
        <v>75</v>
      </c>
      <c r="F85" s="41" t="s">
        <v>55</v>
      </c>
      <c r="G85" s="48" t="str">
        <f t="shared" si="2"/>
        <v>Veracruz</v>
      </c>
      <c r="H85" s="41"/>
      <c r="I85" s="46" t="s">
        <v>22</v>
      </c>
      <c r="J85" s="49" t="s">
        <v>39</v>
      </c>
      <c r="K85" s="41">
        <v>2022</v>
      </c>
      <c r="L85" s="48" t="s">
        <v>52</v>
      </c>
      <c r="M85" s="41"/>
      <c r="N85" s="46" t="s">
        <v>22</v>
      </c>
      <c r="O85" s="50">
        <v>6670768.2799279485</v>
      </c>
      <c r="P85" s="41">
        <v>2021</v>
      </c>
      <c r="Q85" s="48" t="s">
        <v>50</v>
      </c>
      <c r="R85" s="41"/>
    </row>
    <row r="86" spans="1:18" x14ac:dyDescent="0.35">
      <c r="A86" s="41"/>
      <c r="B86" s="46" t="s">
        <v>15</v>
      </c>
      <c r="C86" s="57">
        <v>235364</v>
      </c>
      <c r="D86" s="41">
        <v>2022</v>
      </c>
      <c r="E86" s="41" t="s">
        <v>75</v>
      </c>
      <c r="F86" s="41" t="s">
        <v>55</v>
      </c>
      <c r="G86" s="48" t="str">
        <f t="shared" si="2"/>
        <v>Veracruz</v>
      </c>
      <c r="H86" s="41"/>
      <c r="I86" s="51" t="s">
        <v>23</v>
      </c>
      <c r="J86" s="52" t="s">
        <v>39</v>
      </c>
      <c r="K86" s="53">
        <v>2022</v>
      </c>
      <c r="L86" s="54" t="s">
        <v>52</v>
      </c>
      <c r="M86" s="41"/>
      <c r="N86" s="51" t="s">
        <v>23</v>
      </c>
      <c r="O86" s="55">
        <v>2799480.3783939374</v>
      </c>
      <c r="P86" s="53">
        <v>2021</v>
      </c>
      <c r="Q86" s="54" t="s">
        <v>50</v>
      </c>
      <c r="R86" s="41"/>
    </row>
    <row r="87" spans="1:18" x14ac:dyDescent="0.35">
      <c r="A87" s="41"/>
      <c r="B87" s="51" t="s">
        <v>16</v>
      </c>
      <c r="C87" s="58">
        <v>242208</v>
      </c>
      <c r="D87" s="53">
        <v>2022</v>
      </c>
      <c r="E87" s="53" t="s">
        <v>75</v>
      </c>
      <c r="F87" s="53" t="s">
        <v>55</v>
      </c>
      <c r="G87" s="54" t="str">
        <f t="shared" si="2"/>
        <v>Veracruz</v>
      </c>
      <c r="H87" s="41"/>
      <c r="I87" s="46" t="s">
        <v>12</v>
      </c>
      <c r="J87" s="49">
        <v>0.48</v>
      </c>
      <c r="K87" s="41">
        <v>2022</v>
      </c>
      <c r="L87" s="48" t="s">
        <v>53</v>
      </c>
      <c r="M87" s="41"/>
      <c r="N87" s="46" t="s">
        <v>12</v>
      </c>
      <c r="O87" s="50">
        <v>16910321.921284609</v>
      </c>
      <c r="P87" s="41">
        <v>2022</v>
      </c>
      <c r="Q87" s="48" t="s">
        <v>50</v>
      </c>
      <c r="R87" s="41"/>
    </row>
    <row r="88" spans="1:18" x14ac:dyDescent="0.35">
      <c r="A88" s="41"/>
      <c r="B88" s="46" t="s">
        <v>12</v>
      </c>
      <c r="C88" s="57">
        <v>4310031.2</v>
      </c>
      <c r="D88" s="41">
        <v>2021</v>
      </c>
      <c r="E88" s="41" t="s">
        <v>75</v>
      </c>
      <c r="F88" s="41" t="s">
        <v>51</v>
      </c>
      <c r="G88" s="48" t="str">
        <f t="shared" si="2"/>
        <v>Nuevo León</v>
      </c>
      <c r="H88" s="41"/>
      <c r="I88" s="46" t="s">
        <v>13</v>
      </c>
      <c r="J88" s="49">
        <v>0.58381908833820206</v>
      </c>
      <c r="K88" s="41">
        <v>2022</v>
      </c>
      <c r="L88" s="48" t="s">
        <v>53</v>
      </c>
      <c r="M88" s="41"/>
      <c r="N88" s="46" t="s">
        <v>13</v>
      </c>
      <c r="O88" s="50">
        <v>4348246.9542589281</v>
      </c>
      <c r="P88" s="41">
        <v>2022</v>
      </c>
      <c r="Q88" s="48" t="s">
        <v>50</v>
      </c>
      <c r="R88" s="41"/>
    </row>
    <row r="89" spans="1:18" x14ac:dyDescent="0.35">
      <c r="A89" s="41"/>
      <c r="B89" s="46" t="s">
        <v>13</v>
      </c>
      <c r="C89" s="57">
        <v>3974530.2604001886</v>
      </c>
      <c r="D89" s="41">
        <v>2021</v>
      </c>
      <c r="E89" s="41" t="s">
        <v>75</v>
      </c>
      <c r="F89" s="41" t="s">
        <v>51</v>
      </c>
      <c r="G89" s="48" t="str">
        <f t="shared" si="2"/>
        <v>Nuevo León</v>
      </c>
      <c r="H89" s="41"/>
      <c r="I89" s="46" t="s">
        <v>14</v>
      </c>
      <c r="J89" s="49">
        <v>0.17617375530760587</v>
      </c>
      <c r="K89" s="41">
        <v>2022</v>
      </c>
      <c r="L89" s="48" t="s">
        <v>53</v>
      </c>
      <c r="M89" s="41"/>
      <c r="N89" s="46" t="s">
        <v>14</v>
      </c>
      <c r="O89" s="50">
        <v>1364257.7359454224</v>
      </c>
      <c r="P89" s="41">
        <v>2022</v>
      </c>
      <c r="Q89" s="48" t="s">
        <v>50</v>
      </c>
      <c r="R89" s="41"/>
    </row>
    <row r="90" spans="1:18" x14ac:dyDescent="0.35">
      <c r="A90" s="41"/>
      <c r="B90" s="46" t="s">
        <v>14</v>
      </c>
      <c r="C90" s="57">
        <v>2172117.3999999561</v>
      </c>
      <c r="D90" s="41">
        <v>2021</v>
      </c>
      <c r="E90" s="41" t="s">
        <v>75</v>
      </c>
      <c r="F90" s="41" t="s">
        <v>51</v>
      </c>
      <c r="G90" s="48" t="str">
        <f t="shared" si="2"/>
        <v>Nuevo León</v>
      </c>
      <c r="H90" s="41"/>
      <c r="I90" s="46" t="s">
        <v>15</v>
      </c>
      <c r="J90" s="49">
        <v>0.20249034858010248</v>
      </c>
      <c r="K90" s="41">
        <v>2022</v>
      </c>
      <c r="L90" s="48" t="s">
        <v>53</v>
      </c>
      <c r="M90" s="41"/>
      <c r="N90" s="46" t="s">
        <v>15</v>
      </c>
      <c r="O90" s="50">
        <v>1035258.7790448049</v>
      </c>
      <c r="P90" s="41">
        <v>2022</v>
      </c>
      <c r="Q90" s="48" t="s">
        <v>50</v>
      </c>
      <c r="R90" s="41"/>
    </row>
    <row r="91" spans="1:18" x14ac:dyDescent="0.35">
      <c r="A91" s="41"/>
      <c r="B91" s="46" t="s">
        <v>15</v>
      </c>
      <c r="C91" s="57">
        <v>2091433.5999999563</v>
      </c>
      <c r="D91" s="41">
        <v>2021</v>
      </c>
      <c r="E91" s="41" t="s">
        <v>75</v>
      </c>
      <c r="F91" s="41" t="s">
        <v>51</v>
      </c>
      <c r="G91" s="48" t="str">
        <f t="shared" si="2"/>
        <v>Nuevo León</v>
      </c>
      <c r="H91" s="41"/>
      <c r="I91" s="46" t="s">
        <v>16</v>
      </c>
      <c r="J91" s="49">
        <v>-5.330788399312422E-3</v>
      </c>
      <c r="K91" s="41">
        <v>2022</v>
      </c>
      <c r="L91" s="48" t="s">
        <v>53</v>
      </c>
      <c r="M91" s="41"/>
      <c r="N91" s="46" t="s">
        <v>16</v>
      </c>
      <c r="O91" s="50">
        <v>-482488.75783500145</v>
      </c>
      <c r="P91" s="41">
        <v>2022</v>
      </c>
      <c r="Q91" s="48" t="s">
        <v>50</v>
      </c>
      <c r="R91" s="41"/>
    </row>
    <row r="92" spans="1:18" x14ac:dyDescent="0.35">
      <c r="A92" s="41"/>
      <c r="B92" s="46" t="s">
        <v>16</v>
      </c>
      <c r="C92" s="57">
        <v>1365580.9999999783</v>
      </c>
      <c r="D92" s="41">
        <v>2021</v>
      </c>
      <c r="E92" s="41" t="s">
        <v>75</v>
      </c>
      <c r="F92" s="41" t="s">
        <v>51</v>
      </c>
      <c r="G92" s="48" t="str">
        <f t="shared" si="2"/>
        <v>Nuevo León</v>
      </c>
      <c r="H92" s="41"/>
      <c r="I92" s="46" t="s">
        <v>17</v>
      </c>
      <c r="J92" s="49" t="s">
        <v>39</v>
      </c>
      <c r="K92" s="41">
        <v>2022</v>
      </c>
      <c r="L92" s="48" t="s">
        <v>53</v>
      </c>
      <c r="M92" s="41"/>
      <c r="N92" s="46" t="s">
        <v>17</v>
      </c>
      <c r="O92" s="50">
        <v>0</v>
      </c>
      <c r="P92" s="41">
        <v>2022</v>
      </c>
      <c r="Q92" s="48" t="s">
        <v>50</v>
      </c>
      <c r="R92" s="41"/>
    </row>
    <row r="93" spans="1:18" x14ac:dyDescent="0.35">
      <c r="A93" s="41"/>
      <c r="B93" s="46" t="s">
        <v>17</v>
      </c>
      <c r="C93" s="57">
        <v>1700026.3999999715</v>
      </c>
      <c r="D93" s="41">
        <v>2021</v>
      </c>
      <c r="E93" s="41" t="s">
        <v>75</v>
      </c>
      <c r="F93" s="41" t="s">
        <v>51</v>
      </c>
      <c r="G93" s="48" t="str">
        <f t="shared" si="2"/>
        <v>Nuevo León</v>
      </c>
      <c r="H93" s="41"/>
      <c r="I93" s="46" t="s">
        <v>18</v>
      </c>
      <c r="J93" s="49" t="s">
        <v>39</v>
      </c>
      <c r="K93" s="41">
        <v>2022</v>
      </c>
      <c r="L93" s="48" t="s">
        <v>53</v>
      </c>
      <c r="M93" s="41"/>
      <c r="N93" s="46" t="s">
        <v>18</v>
      </c>
      <c r="O93" s="50">
        <v>0</v>
      </c>
      <c r="P93" s="41">
        <v>2022</v>
      </c>
      <c r="Q93" s="48" t="s">
        <v>50</v>
      </c>
      <c r="R93" s="41"/>
    </row>
    <row r="94" spans="1:18" x14ac:dyDescent="0.35">
      <c r="A94" s="41"/>
      <c r="B94" s="46" t="s">
        <v>18</v>
      </c>
      <c r="C94" s="57">
        <v>3081969.2000000915</v>
      </c>
      <c r="D94" s="41">
        <v>2021</v>
      </c>
      <c r="E94" s="41" t="s">
        <v>75</v>
      </c>
      <c r="F94" s="41" t="s">
        <v>51</v>
      </c>
      <c r="G94" s="48" t="str">
        <f t="shared" si="2"/>
        <v>Nuevo León</v>
      </c>
      <c r="H94" s="41"/>
      <c r="I94" s="46" t="s">
        <v>19</v>
      </c>
      <c r="J94" s="49" t="s">
        <v>39</v>
      </c>
      <c r="K94" s="41">
        <v>2022</v>
      </c>
      <c r="L94" s="48" t="s">
        <v>53</v>
      </c>
      <c r="M94" s="41"/>
      <c r="N94" s="46" t="s">
        <v>19</v>
      </c>
      <c r="O94" s="50">
        <v>0</v>
      </c>
      <c r="P94" s="41">
        <v>2022</v>
      </c>
      <c r="Q94" s="48" t="s">
        <v>50</v>
      </c>
      <c r="R94" s="41"/>
    </row>
    <row r="95" spans="1:18" x14ac:dyDescent="0.35">
      <c r="A95" s="41"/>
      <c r="B95" s="46" t="s">
        <v>19</v>
      </c>
      <c r="C95" s="57">
        <v>6895248.8000003742</v>
      </c>
      <c r="D95" s="41">
        <v>2021</v>
      </c>
      <c r="E95" s="41" t="s">
        <v>75</v>
      </c>
      <c r="F95" s="41" t="s">
        <v>51</v>
      </c>
      <c r="G95" s="48" t="str">
        <f t="shared" si="2"/>
        <v>Nuevo León</v>
      </c>
      <c r="H95" s="41"/>
      <c r="I95" s="46" t="s">
        <v>20</v>
      </c>
      <c r="J95" s="49" t="s">
        <v>39</v>
      </c>
      <c r="K95" s="41">
        <v>2022</v>
      </c>
      <c r="L95" s="48" t="s">
        <v>53</v>
      </c>
      <c r="M95" s="41"/>
      <c r="N95" s="46" t="s">
        <v>20</v>
      </c>
      <c r="O95" s="50">
        <v>0</v>
      </c>
      <c r="P95" s="41">
        <v>2022</v>
      </c>
      <c r="Q95" s="48" t="s">
        <v>50</v>
      </c>
      <c r="R95" s="41"/>
    </row>
    <row r="96" spans="1:18" x14ac:dyDescent="0.35">
      <c r="A96" s="41"/>
      <c r="B96" s="46" t="s">
        <v>20</v>
      </c>
      <c r="C96" s="57">
        <v>4234910.6000001812</v>
      </c>
      <c r="D96" s="41">
        <v>2021</v>
      </c>
      <c r="E96" s="41" t="s">
        <v>75</v>
      </c>
      <c r="F96" s="41" t="s">
        <v>51</v>
      </c>
      <c r="G96" s="48" t="str">
        <f t="shared" si="2"/>
        <v>Nuevo León</v>
      </c>
      <c r="H96" s="41"/>
      <c r="I96" s="46" t="s">
        <v>21</v>
      </c>
      <c r="J96" s="49" t="s">
        <v>39</v>
      </c>
      <c r="K96" s="41">
        <v>2022</v>
      </c>
      <c r="L96" s="48" t="s">
        <v>53</v>
      </c>
      <c r="M96" s="41"/>
      <c r="N96" s="46" t="s">
        <v>21</v>
      </c>
      <c r="O96" s="50">
        <v>0</v>
      </c>
      <c r="P96" s="41">
        <v>2022</v>
      </c>
      <c r="Q96" s="48" t="s">
        <v>50</v>
      </c>
      <c r="R96" s="41"/>
    </row>
    <row r="97" spans="1:18" x14ac:dyDescent="0.35">
      <c r="A97" s="41"/>
      <c r="B97" s="46" t="s">
        <v>21</v>
      </c>
      <c r="C97" s="57">
        <v>1956148.5999999999</v>
      </c>
      <c r="D97" s="41">
        <v>2021</v>
      </c>
      <c r="E97" s="41" t="s">
        <v>75</v>
      </c>
      <c r="F97" s="41" t="s">
        <v>51</v>
      </c>
      <c r="G97" s="48" t="str">
        <f t="shared" si="2"/>
        <v>Nuevo León</v>
      </c>
      <c r="H97" s="41"/>
      <c r="I97" s="46" t="s">
        <v>22</v>
      </c>
      <c r="J97" s="49" t="s">
        <v>39</v>
      </c>
      <c r="K97" s="41">
        <v>2022</v>
      </c>
      <c r="L97" s="48" t="s">
        <v>53</v>
      </c>
      <c r="M97" s="41"/>
      <c r="N97" s="46" t="s">
        <v>22</v>
      </c>
      <c r="O97" s="50">
        <v>0</v>
      </c>
      <c r="P97" s="41">
        <v>2022</v>
      </c>
      <c r="Q97" s="48" t="s">
        <v>50</v>
      </c>
      <c r="R97" s="41"/>
    </row>
    <row r="98" spans="1:18" x14ac:dyDescent="0.35">
      <c r="A98" s="41"/>
      <c r="B98" s="46" t="s">
        <v>22</v>
      </c>
      <c r="C98" s="57">
        <v>1647425.0400000017</v>
      </c>
      <c r="D98" s="41">
        <v>2021</v>
      </c>
      <c r="E98" s="41" t="s">
        <v>75</v>
      </c>
      <c r="F98" s="41" t="s">
        <v>51</v>
      </c>
      <c r="G98" s="48" t="str">
        <f t="shared" si="2"/>
        <v>Nuevo León</v>
      </c>
      <c r="H98" s="41"/>
      <c r="I98" s="51" t="s">
        <v>23</v>
      </c>
      <c r="J98" s="52" t="s">
        <v>39</v>
      </c>
      <c r="K98" s="53">
        <v>2022</v>
      </c>
      <c r="L98" s="54" t="s">
        <v>53</v>
      </c>
      <c r="M98" s="41"/>
      <c r="N98" s="51" t="s">
        <v>23</v>
      </c>
      <c r="O98" s="55">
        <v>0</v>
      </c>
      <c r="P98" s="53">
        <v>2022</v>
      </c>
      <c r="Q98" s="54" t="s">
        <v>50</v>
      </c>
      <c r="R98" s="41"/>
    </row>
    <row r="99" spans="1:18" x14ac:dyDescent="0.35">
      <c r="A99" s="41"/>
      <c r="B99" s="46" t="s">
        <v>23</v>
      </c>
      <c r="C99" s="57">
        <v>2422398.9999999693</v>
      </c>
      <c r="D99" s="41">
        <v>2021</v>
      </c>
      <c r="E99" s="41" t="s">
        <v>75</v>
      </c>
      <c r="F99" s="41" t="s">
        <v>51</v>
      </c>
      <c r="G99" s="48" t="str">
        <f t="shared" si="2"/>
        <v>Nuevo León</v>
      </c>
      <c r="H99" s="41"/>
      <c r="I99" s="46" t="s">
        <v>12</v>
      </c>
      <c r="J99" s="49">
        <v>0.62752924774712138</v>
      </c>
      <c r="K99" s="41">
        <v>2022</v>
      </c>
      <c r="L99" s="48" t="s">
        <v>7</v>
      </c>
      <c r="M99" s="41"/>
      <c r="N99" s="46" t="s">
        <v>12</v>
      </c>
      <c r="O99" s="50">
        <v>3663380.4578528474</v>
      </c>
      <c r="P99" s="41">
        <v>2021</v>
      </c>
      <c r="Q99" s="48" t="s">
        <v>54</v>
      </c>
      <c r="R99" s="41"/>
    </row>
    <row r="100" spans="1:18" x14ac:dyDescent="0.35">
      <c r="A100" s="41"/>
      <c r="B100" s="46" t="s">
        <v>12</v>
      </c>
      <c r="C100" s="57">
        <v>9109258.4400000293</v>
      </c>
      <c r="D100" s="41">
        <v>2022</v>
      </c>
      <c r="E100" s="41" t="s">
        <v>75</v>
      </c>
      <c r="F100" s="41" t="s">
        <v>51</v>
      </c>
      <c r="G100" s="48" t="str">
        <f t="shared" si="2"/>
        <v>Nuevo León</v>
      </c>
      <c r="H100" s="41"/>
      <c r="I100" s="46" t="s">
        <v>13</v>
      </c>
      <c r="J100" s="49">
        <v>6.4273559040833345E-2</v>
      </c>
      <c r="K100" s="41">
        <v>2022</v>
      </c>
      <c r="L100" s="48" t="s">
        <v>7</v>
      </c>
      <c r="M100" s="41"/>
      <c r="N100" s="46" t="s">
        <v>13</v>
      </c>
      <c r="O100" s="50">
        <v>1318505.8831860782</v>
      </c>
      <c r="P100" s="41">
        <v>2021</v>
      </c>
      <c r="Q100" s="48" t="s">
        <v>54</v>
      </c>
      <c r="R100" s="41"/>
    </row>
    <row r="101" spans="1:18" x14ac:dyDescent="0.35">
      <c r="A101" s="41"/>
      <c r="B101" s="46" t="s">
        <v>13</v>
      </c>
      <c r="C101" s="57">
        <v>2475547.8800000036</v>
      </c>
      <c r="D101" s="41">
        <v>2022</v>
      </c>
      <c r="E101" s="41" t="s">
        <v>75</v>
      </c>
      <c r="F101" s="41" t="s">
        <v>51</v>
      </c>
      <c r="G101" s="48" t="str">
        <f t="shared" si="2"/>
        <v>Nuevo León</v>
      </c>
      <c r="H101" s="41"/>
      <c r="I101" s="46" t="s">
        <v>14</v>
      </c>
      <c r="J101" s="49">
        <v>7.7649529627217176E-2</v>
      </c>
      <c r="K101" s="41">
        <v>2022</v>
      </c>
      <c r="L101" s="48" t="s">
        <v>7</v>
      </c>
      <c r="M101" s="41"/>
      <c r="N101" s="46" t="s">
        <v>14</v>
      </c>
      <c r="O101" s="50">
        <v>731690.65037057537</v>
      </c>
      <c r="P101" s="41">
        <v>2021</v>
      </c>
      <c r="Q101" s="48" t="s">
        <v>54</v>
      </c>
      <c r="R101" s="41"/>
    </row>
    <row r="102" spans="1:18" x14ac:dyDescent="0.35">
      <c r="A102" s="41"/>
      <c r="B102" s="46" t="s">
        <v>14</v>
      </c>
      <c r="C102" s="57">
        <v>825182.23999999452</v>
      </c>
      <c r="D102" s="41">
        <v>2022</v>
      </c>
      <c r="E102" s="41" t="s">
        <v>75</v>
      </c>
      <c r="F102" s="41" t="s">
        <v>51</v>
      </c>
      <c r="G102" s="48" t="str">
        <f t="shared" si="2"/>
        <v>Nuevo León</v>
      </c>
      <c r="H102" s="41"/>
      <c r="I102" s="46" t="s">
        <v>15</v>
      </c>
      <c r="J102" s="49">
        <v>-0.44824224941411783</v>
      </c>
      <c r="K102" s="41">
        <v>2022</v>
      </c>
      <c r="L102" s="48" t="s">
        <v>7</v>
      </c>
      <c r="M102" s="41"/>
      <c r="N102" s="46" t="s">
        <v>15</v>
      </c>
      <c r="O102" s="50">
        <v>1336370.6968728579</v>
      </c>
      <c r="P102" s="41">
        <v>2021</v>
      </c>
      <c r="Q102" s="48" t="s">
        <v>54</v>
      </c>
      <c r="R102" s="41"/>
    </row>
    <row r="103" spans="1:18" x14ac:dyDescent="0.35">
      <c r="A103" s="41"/>
      <c r="B103" s="46" t="s">
        <v>15</v>
      </c>
      <c r="C103" s="57">
        <v>489075.72000000259</v>
      </c>
      <c r="D103" s="41">
        <v>2022</v>
      </c>
      <c r="E103" s="41" t="s">
        <v>75</v>
      </c>
      <c r="F103" s="41" t="s">
        <v>51</v>
      </c>
      <c r="G103" s="48" t="str">
        <f t="shared" si="2"/>
        <v>Nuevo León</v>
      </c>
      <c r="H103" s="41"/>
      <c r="I103" s="46" t="s">
        <v>16</v>
      </c>
      <c r="J103" s="49">
        <v>-0.20655204364310459</v>
      </c>
      <c r="K103" s="41">
        <v>2022</v>
      </c>
      <c r="L103" s="48" t="s">
        <v>7</v>
      </c>
      <c r="M103" s="41"/>
      <c r="N103" s="46" t="s">
        <v>16</v>
      </c>
      <c r="O103" s="50">
        <v>-322972.17711258819</v>
      </c>
      <c r="P103" s="41">
        <v>2021</v>
      </c>
      <c r="Q103" s="48" t="s">
        <v>54</v>
      </c>
      <c r="R103" s="41"/>
    </row>
    <row r="104" spans="1:18" x14ac:dyDescent="0.35">
      <c r="A104" s="41"/>
      <c r="B104" s="51" t="s">
        <v>16</v>
      </c>
      <c r="C104" s="58">
        <v>531950.48000000266</v>
      </c>
      <c r="D104" s="53">
        <v>2022</v>
      </c>
      <c r="E104" s="53" t="s">
        <v>75</v>
      </c>
      <c r="F104" s="53" t="s">
        <v>51</v>
      </c>
      <c r="G104" s="54" t="str">
        <f t="shared" si="2"/>
        <v>Nuevo León</v>
      </c>
      <c r="H104" s="41"/>
      <c r="I104" s="46" t="s">
        <v>17</v>
      </c>
      <c r="J104" s="49" t="s">
        <v>39</v>
      </c>
      <c r="K104" s="41">
        <v>2022</v>
      </c>
      <c r="L104" s="48" t="s">
        <v>7</v>
      </c>
      <c r="M104" s="41"/>
      <c r="N104" s="46" t="s">
        <v>17</v>
      </c>
      <c r="O104" s="50">
        <v>883255.94090192392</v>
      </c>
      <c r="P104" s="41">
        <v>2021</v>
      </c>
      <c r="Q104" s="48" t="s">
        <v>54</v>
      </c>
      <c r="R104" s="41"/>
    </row>
    <row r="105" spans="1:18" x14ac:dyDescent="0.35">
      <c r="A105" s="41"/>
      <c r="B105" s="46" t="s">
        <v>12</v>
      </c>
      <c r="C105" s="57">
        <v>9297214.4000000004</v>
      </c>
      <c r="D105" s="41">
        <v>2021</v>
      </c>
      <c r="E105" s="41" t="s">
        <v>75</v>
      </c>
      <c r="F105" s="41" t="s">
        <v>52</v>
      </c>
      <c r="G105" s="48" t="str">
        <f t="shared" si="2"/>
        <v>Quintana Roo</v>
      </c>
      <c r="H105" s="41"/>
      <c r="I105" s="46" t="s">
        <v>18</v>
      </c>
      <c r="J105" s="49" t="s">
        <v>39</v>
      </c>
      <c r="K105" s="41">
        <v>2022</v>
      </c>
      <c r="L105" s="48" t="s">
        <v>7</v>
      </c>
      <c r="M105" s="41"/>
      <c r="N105" s="46" t="s">
        <v>18</v>
      </c>
      <c r="O105" s="50">
        <v>733628.60491576802</v>
      </c>
      <c r="P105" s="41">
        <v>2021</v>
      </c>
      <c r="Q105" s="48" t="s">
        <v>54</v>
      </c>
      <c r="R105" s="41"/>
    </row>
    <row r="106" spans="1:18" x14ac:dyDescent="0.35">
      <c r="A106" s="41"/>
      <c r="B106" s="46" t="s">
        <v>13</v>
      </c>
      <c r="C106" s="57">
        <v>9540675.014399983</v>
      </c>
      <c r="D106" s="41">
        <v>2021</v>
      </c>
      <c r="E106" s="41" t="s">
        <v>75</v>
      </c>
      <c r="F106" s="41" t="s">
        <v>52</v>
      </c>
      <c r="G106" s="48" t="str">
        <f t="shared" si="2"/>
        <v>Quintana Roo</v>
      </c>
      <c r="H106" s="41"/>
      <c r="I106" s="46" t="s">
        <v>19</v>
      </c>
      <c r="J106" s="49" t="s">
        <v>39</v>
      </c>
      <c r="K106" s="41">
        <v>2022</v>
      </c>
      <c r="L106" s="48" t="s">
        <v>7</v>
      </c>
      <c r="M106" s="41"/>
      <c r="N106" s="46" t="s">
        <v>19</v>
      </c>
      <c r="O106" s="50">
        <v>1177137.3619177782</v>
      </c>
      <c r="P106" s="41">
        <v>2021</v>
      </c>
      <c r="Q106" s="48" t="s">
        <v>54</v>
      </c>
      <c r="R106" s="41"/>
    </row>
    <row r="107" spans="1:18" x14ac:dyDescent="0.35">
      <c r="A107" s="41"/>
      <c r="B107" s="46" t="s">
        <v>14</v>
      </c>
      <c r="C107" s="57">
        <v>5311524</v>
      </c>
      <c r="D107" s="41">
        <v>2021</v>
      </c>
      <c r="E107" s="41" t="s">
        <v>75</v>
      </c>
      <c r="F107" s="41" t="s">
        <v>52</v>
      </c>
      <c r="G107" s="48" t="str">
        <f t="shared" si="2"/>
        <v>Quintana Roo</v>
      </c>
      <c r="H107" s="41"/>
      <c r="I107" s="46" t="s">
        <v>20</v>
      </c>
      <c r="J107" s="49" t="s">
        <v>39</v>
      </c>
      <c r="K107" s="41">
        <v>2022</v>
      </c>
      <c r="L107" s="48" t="s">
        <v>7</v>
      </c>
      <c r="M107" s="41"/>
      <c r="N107" s="46" t="s">
        <v>20</v>
      </c>
      <c r="O107" s="50">
        <v>521438.40865085705</v>
      </c>
      <c r="P107" s="41">
        <v>2021</v>
      </c>
      <c r="Q107" s="48" t="s">
        <v>54</v>
      </c>
      <c r="R107" s="41"/>
    </row>
    <row r="108" spans="1:18" x14ac:dyDescent="0.35">
      <c r="A108" s="41"/>
      <c r="B108" s="46" t="s">
        <v>15</v>
      </c>
      <c r="C108" s="57">
        <v>5340524</v>
      </c>
      <c r="D108" s="41">
        <v>2021</v>
      </c>
      <c r="E108" s="41" t="s">
        <v>75</v>
      </c>
      <c r="F108" s="41" t="s">
        <v>52</v>
      </c>
      <c r="G108" s="48" t="str">
        <f t="shared" si="2"/>
        <v>Quintana Roo</v>
      </c>
      <c r="H108" s="41"/>
      <c r="I108" s="46" t="s">
        <v>21</v>
      </c>
      <c r="J108" s="49" t="s">
        <v>39</v>
      </c>
      <c r="K108" s="41">
        <v>2022</v>
      </c>
      <c r="L108" s="48" t="s">
        <v>7</v>
      </c>
      <c r="M108" s="41"/>
      <c r="N108" s="46" t="s">
        <v>21</v>
      </c>
      <c r="O108" s="50">
        <v>688915.35595695605</v>
      </c>
      <c r="P108" s="41">
        <v>2021</v>
      </c>
      <c r="Q108" s="48" t="s">
        <v>54</v>
      </c>
      <c r="R108" s="41"/>
    </row>
    <row r="109" spans="1:18" x14ac:dyDescent="0.35">
      <c r="A109" s="41"/>
      <c r="B109" s="46" t="s">
        <v>16</v>
      </c>
      <c r="C109" s="57">
        <v>4240728</v>
      </c>
      <c r="D109" s="41">
        <v>2021</v>
      </c>
      <c r="E109" s="41" t="s">
        <v>75</v>
      </c>
      <c r="F109" s="41" t="s">
        <v>52</v>
      </c>
      <c r="G109" s="48" t="str">
        <f t="shared" si="2"/>
        <v>Quintana Roo</v>
      </c>
      <c r="H109" s="41"/>
      <c r="I109" s="46" t="s">
        <v>22</v>
      </c>
      <c r="J109" s="49" t="s">
        <v>39</v>
      </c>
      <c r="K109" s="41">
        <v>2022</v>
      </c>
      <c r="L109" s="48" t="s">
        <v>7</v>
      </c>
      <c r="M109" s="41"/>
      <c r="N109" s="46" t="s">
        <v>22</v>
      </c>
      <c r="O109" s="50">
        <v>327045.92788880575</v>
      </c>
      <c r="P109" s="41">
        <v>2021</v>
      </c>
      <c r="Q109" s="48" t="s">
        <v>54</v>
      </c>
      <c r="R109" s="41"/>
    </row>
    <row r="110" spans="1:18" x14ac:dyDescent="0.35">
      <c r="A110" s="41"/>
      <c r="B110" s="46" t="s">
        <v>17</v>
      </c>
      <c r="C110" s="57">
        <v>2218442</v>
      </c>
      <c r="D110" s="41">
        <v>2021</v>
      </c>
      <c r="E110" s="41" t="s">
        <v>75</v>
      </c>
      <c r="F110" s="41" t="s">
        <v>52</v>
      </c>
      <c r="G110" s="48" t="str">
        <f t="shared" si="2"/>
        <v>Quintana Roo</v>
      </c>
      <c r="H110" s="41"/>
      <c r="I110" s="51" t="s">
        <v>23</v>
      </c>
      <c r="J110" s="52" t="s">
        <v>39</v>
      </c>
      <c r="K110" s="53">
        <v>2022</v>
      </c>
      <c r="L110" s="54" t="s">
        <v>7</v>
      </c>
      <c r="M110" s="41"/>
      <c r="N110" s="51" t="s">
        <v>23</v>
      </c>
      <c r="O110" s="55">
        <v>441316.16998492554</v>
      </c>
      <c r="P110" s="53">
        <v>2021</v>
      </c>
      <c r="Q110" s="54" t="s">
        <v>54</v>
      </c>
      <c r="R110" s="41"/>
    </row>
    <row r="111" spans="1:18" x14ac:dyDescent="0.35">
      <c r="A111" s="41"/>
      <c r="B111" s="46" t="s">
        <v>18</v>
      </c>
      <c r="C111" s="57">
        <v>2765730</v>
      </c>
      <c r="D111" s="41">
        <v>2021</v>
      </c>
      <c r="E111" s="41" t="s">
        <v>75</v>
      </c>
      <c r="F111" s="41" t="s">
        <v>52</v>
      </c>
      <c r="G111" s="48" t="str">
        <f t="shared" si="2"/>
        <v>Quintana Roo</v>
      </c>
      <c r="H111" s="41"/>
      <c r="I111" s="46" t="s">
        <v>12</v>
      </c>
      <c r="J111" s="49">
        <v>0.64101215348421858</v>
      </c>
      <c r="K111" s="41">
        <v>2022</v>
      </c>
      <c r="L111" s="48" t="s">
        <v>78</v>
      </c>
      <c r="M111" s="41"/>
      <c r="N111" s="46" t="s">
        <v>12</v>
      </c>
      <c r="O111" s="50">
        <v>1603444.6359162575</v>
      </c>
      <c r="P111" s="41">
        <v>2022</v>
      </c>
      <c r="Q111" s="48" t="s">
        <v>54</v>
      </c>
      <c r="R111" s="41"/>
    </row>
    <row r="112" spans="1:18" x14ac:dyDescent="0.35">
      <c r="A112" s="41"/>
      <c r="B112" s="46" t="s">
        <v>19</v>
      </c>
      <c r="C112" s="57">
        <v>4469364</v>
      </c>
      <c r="D112" s="41">
        <v>2021</v>
      </c>
      <c r="E112" s="41" t="s">
        <v>75</v>
      </c>
      <c r="F112" s="41" t="s">
        <v>52</v>
      </c>
      <c r="G112" s="48" t="str">
        <f t="shared" si="2"/>
        <v>Quintana Roo</v>
      </c>
      <c r="H112" s="41"/>
      <c r="I112" s="46" t="s">
        <v>13</v>
      </c>
      <c r="J112" s="49">
        <v>-0.11503682783524584</v>
      </c>
      <c r="K112" s="41">
        <v>2022</v>
      </c>
      <c r="L112" s="48" t="s">
        <v>78</v>
      </c>
      <c r="M112" s="41"/>
      <c r="N112" s="46" t="s">
        <v>13</v>
      </c>
      <c r="O112" s="50">
        <v>874121.51395572186</v>
      </c>
      <c r="P112" s="41">
        <v>2022</v>
      </c>
      <c r="Q112" s="48" t="s">
        <v>54</v>
      </c>
      <c r="R112" s="41"/>
    </row>
    <row r="113" spans="1:18" x14ac:dyDescent="0.35">
      <c r="A113" s="41"/>
      <c r="B113" s="46" t="s">
        <v>20</v>
      </c>
      <c r="C113" s="57">
        <v>2688764</v>
      </c>
      <c r="D113" s="41">
        <v>2021</v>
      </c>
      <c r="E113" s="41" t="s">
        <v>75</v>
      </c>
      <c r="F113" s="41" t="s">
        <v>52</v>
      </c>
      <c r="G113" s="48" t="str">
        <f t="shared" si="2"/>
        <v>Quintana Roo</v>
      </c>
      <c r="H113" s="41"/>
      <c r="I113" s="46" t="s">
        <v>14</v>
      </c>
      <c r="J113" s="49">
        <v>-0.26226020975754255</v>
      </c>
      <c r="K113" s="41">
        <v>2022</v>
      </c>
      <c r="L113" s="48" t="s">
        <v>78</v>
      </c>
      <c r="M113" s="41"/>
      <c r="N113" s="46" t="s">
        <v>14</v>
      </c>
      <c r="O113" s="50">
        <v>645294.32673023874</v>
      </c>
      <c r="P113" s="41">
        <v>2022</v>
      </c>
      <c r="Q113" s="48" t="s">
        <v>54</v>
      </c>
      <c r="R113" s="41"/>
    </row>
    <row r="114" spans="1:18" x14ac:dyDescent="0.35">
      <c r="A114" s="41"/>
      <c r="B114" s="46" t="s">
        <v>21</v>
      </c>
      <c r="C114" s="57">
        <v>2601590</v>
      </c>
      <c r="D114" s="41">
        <v>2021</v>
      </c>
      <c r="E114" s="41" t="s">
        <v>75</v>
      </c>
      <c r="F114" s="41" t="s">
        <v>52</v>
      </c>
      <c r="G114" s="48" t="str">
        <f t="shared" si="2"/>
        <v>Quintana Roo</v>
      </c>
      <c r="H114" s="41"/>
      <c r="I114" s="46" t="s">
        <v>15</v>
      </c>
      <c r="J114" s="49">
        <v>-0.36375547852508716</v>
      </c>
      <c r="K114" s="41">
        <v>2022</v>
      </c>
      <c r="L114" s="48" t="s">
        <v>78</v>
      </c>
      <c r="M114" s="41"/>
      <c r="N114" s="46" t="s">
        <v>15</v>
      </c>
      <c r="O114" s="50">
        <v>220642.76251058443</v>
      </c>
      <c r="P114" s="41">
        <v>2022</v>
      </c>
      <c r="Q114" s="48" t="s">
        <v>54</v>
      </c>
      <c r="R114" s="41"/>
    </row>
    <row r="115" spans="1:18" ht="18" thickBot="1" x14ac:dyDescent="0.4">
      <c r="A115" s="41"/>
      <c r="B115" s="46" t="s">
        <v>22</v>
      </c>
      <c r="C115" s="57">
        <v>9180109.7088000812</v>
      </c>
      <c r="D115" s="41">
        <v>2021</v>
      </c>
      <c r="E115" s="41" t="s">
        <v>75</v>
      </c>
      <c r="F115" s="41" t="s">
        <v>52</v>
      </c>
      <c r="G115" s="48" t="str">
        <f t="shared" si="2"/>
        <v>Quintana Roo</v>
      </c>
      <c r="H115" s="41"/>
      <c r="I115" s="59" t="s">
        <v>16</v>
      </c>
      <c r="J115" s="60">
        <v>0.21420985237015064</v>
      </c>
      <c r="K115" s="61">
        <v>2022</v>
      </c>
      <c r="L115" s="62" t="s">
        <v>78</v>
      </c>
      <c r="M115" s="41"/>
      <c r="N115" s="46" t="s">
        <v>16</v>
      </c>
      <c r="O115" s="50">
        <v>-54145.070710267173</v>
      </c>
      <c r="P115" s="41">
        <v>2022</v>
      </c>
      <c r="Q115" s="48" t="s">
        <v>54</v>
      </c>
      <c r="R115" s="41"/>
    </row>
    <row r="116" spans="1:18" x14ac:dyDescent="0.35">
      <c r="A116" s="41"/>
      <c r="B116" s="46" t="s">
        <v>23</v>
      </c>
      <c r="C116" s="57">
        <v>11326356</v>
      </c>
      <c r="D116" s="41">
        <v>2021</v>
      </c>
      <c r="E116" s="41" t="s">
        <v>75</v>
      </c>
      <c r="F116" s="41" t="s">
        <v>52</v>
      </c>
      <c r="G116" s="48" t="str">
        <f t="shared" si="2"/>
        <v>Quintana Roo</v>
      </c>
      <c r="H116" s="41"/>
      <c r="I116" s="41"/>
      <c r="J116" s="49"/>
      <c r="K116" s="41"/>
      <c r="L116" s="41"/>
      <c r="M116" s="41"/>
      <c r="N116" s="46" t="s">
        <v>17</v>
      </c>
      <c r="O116" s="50">
        <v>0</v>
      </c>
      <c r="P116" s="41">
        <v>2022</v>
      </c>
      <c r="Q116" s="48" t="s">
        <v>54</v>
      </c>
      <c r="R116" s="41"/>
    </row>
    <row r="117" spans="1:18" x14ac:dyDescent="0.35">
      <c r="A117" s="41"/>
      <c r="B117" s="46" t="s">
        <v>12</v>
      </c>
      <c r="C117" s="57">
        <v>8079806</v>
      </c>
      <c r="D117" s="41">
        <v>2022</v>
      </c>
      <c r="E117" s="41" t="s">
        <v>75</v>
      </c>
      <c r="F117" s="41" t="s">
        <v>52</v>
      </c>
      <c r="G117" s="48" t="str">
        <f t="shared" si="2"/>
        <v>Quintana Roo</v>
      </c>
      <c r="H117" s="41"/>
      <c r="I117" s="41"/>
      <c r="J117" s="63"/>
      <c r="K117" s="41"/>
      <c r="L117" s="41"/>
      <c r="M117" s="41"/>
      <c r="N117" s="46" t="s">
        <v>18</v>
      </c>
      <c r="O117" s="50">
        <v>0</v>
      </c>
      <c r="P117" s="41">
        <v>2022</v>
      </c>
      <c r="Q117" s="48" t="s">
        <v>54</v>
      </c>
      <c r="R117" s="41"/>
    </row>
    <row r="118" spans="1:18" x14ac:dyDescent="0.35">
      <c r="A118" s="41"/>
      <c r="B118" s="46" t="s">
        <v>13</v>
      </c>
      <c r="C118" s="57">
        <v>5617010</v>
      </c>
      <c r="D118" s="41">
        <v>2022</v>
      </c>
      <c r="E118" s="41" t="s">
        <v>75</v>
      </c>
      <c r="F118" s="41" t="s">
        <v>52</v>
      </c>
      <c r="G118" s="48" t="str">
        <f t="shared" si="2"/>
        <v>Quintana Roo</v>
      </c>
      <c r="H118" s="41"/>
      <c r="I118" s="41"/>
      <c r="J118" s="63"/>
      <c r="K118" s="41"/>
      <c r="L118" s="41"/>
      <c r="M118" s="41"/>
      <c r="N118" s="46" t="s">
        <v>19</v>
      </c>
      <c r="O118" s="50">
        <v>0</v>
      </c>
      <c r="P118" s="41">
        <v>2022</v>
      </c>
      <c r="Q118" s="48" t="s">
        <v>54</v>
      </c>
      <c r="R118" s="41"/>
    </row>
    <row r="119" spans="1:18" x14ac:dyDescent="0.35">
      <c r="A119" s="41"/>
      <c r="B119" s="46" t="s">
        <v>14</v>
      </c>
      <c r="C119" s="57">
        <v>2364219.1999999993</v>
      </c>
      <c r="D119" s="41">
        <v>2022</v>
      </c>
      <c r="E119" s="41" t="s">
        <v>75</v>
      </c>
      <c r="F119" s="41" t="s">
        <v>52</v>
      </c>
      <c r="G119" s="48" t="str">
        <f t="shared" si="2"/>
        <v>Quintana Roo</v>
      </c>
      <c r="H119" s="41"/>
      <c r="I119" s="41"/>
      <c r="J119" s="63"/>
      <c r="K119" s="41"/>
      <c r="L119" s="41"/>
      <c r="M119" s="41"/>
      <c r="N119" s="46" t="s">
        <v>20</v>
      </c>
      <c r="O119" s="50">
        <v>0</v>
      </c>
      <c r="P119" s="41">
        <v>2022</v>
      </c>
      <c r="Q119" s="48" t="s">
        <v>54</v>
      </c>
      <c r="R119" s="41"/>
    </row>
    <row r="120" spans="1:18" x14ac:dyDescent="0.35">
      <c r="A120" s="41"/>
      <c r="B120" s="46" t="s">
        <v>15</v>
      </c>
      <c r="C120" s="57">
        <v>687613.20000000007</v>
      </c>
      <c r="D120" s="41">
        <v>2022</v>
      </c>
      <c r="E120" s="41" t="s">
        <v>75</v>
      </c>
      <c r="F120" s="41" t="s">
        <v>52</v>
      </c>
      <c r="G120" s="48" t="str">
        <f t="shared" si="2"/>
        <v>Quintana Roo</v>
      </c>
      <c r="H120" s="41"/>
      <c r="I120" s="41"/>
      <c r="J120" s="63"/>
      <c r="K120" s="41"/>
      <c r="L120" s="41"/>
      <c r="M120" s="41"/>
      <c r="N120" s="46" t="s">
        <v>21</v>
      </c>
      <c r="O120" s="50">
        <v>0</v>
      </c>
      <c r="P120" s="41">
        <v>2022</v>
      </c>
      <c r="Q120" s="48" t="s">
        <v>54</v>
      </c>
      <c r="R120" s="41"/>
    </row>
    <row r="121" spans="1:18" x14ac:dyDescent="0.35">
      <c r="A121" s="41"/>
      <c r="B121" s="51" t="s">
        <v>16</v>
      </c>
      <c r="C121" s="58">
        <v>228496.8</v>
      </c>
      <c r="D121" s="53">
        <v>2022</v>
      </c>
      <c r="E121" s="53" t="s">
        <v>75</v>
      </c>
      <c r="F121" s="53" t="s">
        <v>52</v>
      </c>
      <c r="G121" s="54" t="str">
        <f t="shared" si="2"/>
        <v>Quintana Roo</v>
      </c>
      <c r="H121" s="41"/>
      <c r="I121" s="41"/>
      <c r="J121" s="41"/>
      <c r="K121" s="41"/>
      <c r="L121" s="41"/>
      <c r="M121" s="41"/>
      <c r="N121" s="46" t="s">
        <v>22</v>
      </c>
      <c r="O121" s="50">
        <v>0</v>
      </c>
      <c r="P121" s="41">
        <v>2022</v>
      </c>
      <c r="Q121" s="48" t="s">
        <v>54</v>
      </c>
      <c r="R121" s="41"/>
    </row>
    <row r="122" spans="1:18" x14ac:dyDescent="0.35">
      <c r="A122" s="41"/>
      <c r="B122" s="46" t="s">
        <v>12</v>
      </c>
      <c r="C122" s="57">
        <v>37471896.609999992</v>
      </c>
      <c r="D122" s="41">
        <v>2021</v>
      </c>
      <c r="E122" s="41" t="s">
        <v>75</v>
      </c>
      <c r="F122" s="41" t="s">
        <v>7</v>
      </c>
      <c r="G122" s="48" t="str">
        <f t="shared" si="2"/>
        <v>CDMX</v>
      </c>
      <c r="H122" s="41"/>
      <c r="I122" s="41"/>
      <c r="J122" s="41"/>
      <c r="K122" s="41"/>
      <c r="L122" s="41"/>
      <c r="M122" s="41"/>
      <c r="N122" s="51" t="s">
        <v>23</v>
      </c>
      <c r="O122" s="55">
        <v>0</v>
      </c>
      <c r="P122" s="53">
        <v>2022</v>
      </c>
      <c r="Q122" s="54" t="s">
        <v>54</v>
      </c>
      <c r="R122" s="41"/>
    </row>
    <row r="123" spans="1:18" x14ac:dyDescent="0.35">
      <c r="A123" s="41"/>
      <c r="B123" s="46" t="s">
        <v>13</v>
      </c>
      <c r="C123" s="57">
        <v>31879155.716400154</v>
      </c>
      <c r="D123" s="41">
        <v>2021</v>
      </c>
      <c r="E123" s="41" t="s">
        <v>75</v>
      </c>
      <c r="F123" s="41" t="s">
        <v>7</v>
      </c>
      <c r="G123" s="48" t="str">
        <f t="shared" si="2"/>
        <v>CDMX</v>
      </c>
      <c r="H123" s="41"/>
      <c r="I123" s="41"/>
      <c r="J123" s="41"/>
      <c r="K123" s="41"/>
      <c r="L123" s="41"/>
      <c r="M123" s="41"/>
      <c r="N123" s="46" t="s">
        <v>12</v>
      </c>
      <c r="O123" s="50">
        <v>8135780.1826476902</v>
      </c>
      <c r="P123" s="41">
        <v>2021</v>
      </c>
      <c r="Q123" s="48" t="s">
        <v>51</v>
      </c>
      <c r="R123" s="41"/>
    </row>
    <row r="124" spans="1:18" x14ac:dyDescent="0.35">
      <c r="A124" s="41"/>
      <c r="B124" s="46" t="s">
        <v>14</v>
      </c>
      <c r="C124" s="57">
        <v>21642111.1580007</v>
      </c>
      <c r="D124" s="41">
        <v>2021</v>
      </c>
      <c r="E124" s="41" t="s">
        <v>75</v>
      </c>
      <c r="F124" s="41" t="s">
        <v>7</v>
      </c>
      <c r="G124" s="48" t="str">
        <f t="shared" si="2"/>
        <v>CDMX</v>
      </c>
      <c r="H124" s="41"/>
      <c r="I124" s="41"/>
      <c r="J124" s="63"/>
      <c r="K124" s="41"/>
      <c r="L124" s="41"/>
      <c r="M124" s="41"/>
      <c r="N124" s="46" t="s">
        <v>13</v>
      </c>
      <c r="O124" s="50">
        <v>3762615.1376393968</v>
      </c>
      <c r="P124" s="41">
        <v>2021</v>
      </c>
      <c r="Q124" s="48" t="s">
        <v>51</v>
      </c>
      <c r="R124" s="41"/>
    </row>
    <row r="125" spans="1:18" x14ac:dyDescent="0.35">
      <c r="A125" s="41"/>
      <c r="B125" s="46" t="s">
        <v>15</v>
      </c>
      <c r="C125" s="57">
        <v>17635338.652800303</v>
      </c>
      <c r="D125" s="41">
        <v>2021</v>
      </c>
      <c r="E125" s="41" t="s">
        <v>75</v>
      </c>
      <c r="F125" s="41" t="s">
        <v>7</v>
      </c>
      <c r="G125" s="48" t="str">
        <f t="shared" si="2"/>
        <v>CDMX</v>
      </c>
      <c r="H125" s="41"/>
      <c r="I125" s="41"/>
      <c r="J125" s="63"/>
      <c r="K125" s="41"/>
      <c r="L125" s="41"/>
      <c r="M125" s="41"/>
      <c r="N125" s="46" t="s">
        <v>14</v>
      </c>
      <c r="O125" s="50">
        <v>1395226.6979455468</v>
      </c>
      <c r="P125" s="41">
        <v>2021</v>
      </c>
      <c r="Q125" s="48" t="s">
        <v>51</v>
      </c>
      <c r="R125" s="41"/>
    </row>
    <row r="126" spans="1:18" x14ac:dyDescent="0.35">
      <c r="A126" s="41"/>
      <c r="B126" s="46" t="s">
        <v>16</v>
      </c>
      <c r="C126" s="57">
        <v>14886468.917600201</v>
      </c>
      <c r="D126" s="41">
        <v>2021</v>
      </c>
      <c r="E126" s="41" t="s">
        <v>75</v>
      </c>
      <c r="F126" s="41" t="s">
        <v>7</v>
      </c>
      <c r="G126" s="48" t="str">
        <f t="shared" si="2"/>
        <v>CDMX</v>
      </c>
      <c r="H126" s="41"/>
      <c r="I126" s="41"/>
      <c r="J126" s="63"/>
      <c r="K126" s="41"/>
      <c r="L126" s="41"/>
      <c r="M126" s="41"/>
      <c r="N126" s="46" t="s">
        <v>15</v>
      </c>
      <c r="O126" s="50">
        <v>2218901.7280339301</v>
      </c>
      <c r="P126" s="41">
        <v>2021</v>
      </c>
      <c r="Q126" s="48" t="s">
        <v>51</v>
      </c>
      <c r="R126" s="41"/>
    </row>
    <row r="127" spans="1:18" x14ac:dyDescent="0.35">
      <c r="A127" s="41"/>
      <c r="B127" s="46" t="s">
        <v>17</v>
      </c>
      <c r="C127" s="57">
        <v>11545615.394000059</v>
      </c>
      <c r="D127" s="41">
        <v>2021</v>
      </c>
      <c r="E127" s="41" t="s">
        <v>75</v>
      </c>
      <c r="F127" s="41" t="s">
        <v>7</v>
      </c>
      <c r="G127" s="48" t="str">
        <f t="shared" si="2"/>
        <v>CDMX</v>
      </c>
      <c r="H127" s="41"/>
      <c r="I127" s="41"/>
      <c r="J127" s="63"/>
      <c r="K127" s="41"/>
      <c r="L127" s="41"/>
      <c r="M127" s="41"/>
      <c r="N127" s="46" t="s">
        <v>16</v>
      </c>
      <c r="O127" s="50">
        <v>325226.29357377393</v>
      </c>
      <c r="P127" s="41">
        <v>2021</v>
      </c>
      <c r="Q127" s="48" t="s">
        <v>51</v>
      </c>
      <c r="R127" s="41"/>
    </row>
    <row r="128" spans="1:18" x14ac:dyDescent="0.35">
      <c r="A128" s="41"/>
      <c r="B128" s="46" t="s">
        <v>18</v>
      </c>
      <c r="C128" s="57">
        <v>19752608.701200403</v>
      </c>
      <c r="D128" s="41">
        <v>2021</v>
      </c>
      <c r="E128" s="41" t="s">
        <v>75</v>
      </c>
      <c r="F128" s="41" t="s">
        <v>7</v>
      </c>
      <c r="G128" s="48" t="str">
        <f t="shared" si="2"/>
        <v>CDMX</v>
      </c>
      <c r="H128" s="41"/>
      <c r="I128" s="41"/>
      <c r="J128" s="63"/>
      <c r="K128" s="41"/>
      <c r="L128" s="41"/>
      <c r="M128" s="41"/>
      <c r="N128" s="46" t="s">
        <v>17</v>
      </c>
      <c r="O128" s="50">
        <v>1397816.6101287822</v>
      </c>
      <c r="P128" s="41">
        <v>2021</v>
      </c>
      <c r="Q128" s="48" t="s">
        <v>51</v>
      </c>
      <c r="R128" s="41"/>
    </row>
    <row r="129" spans="1:18" x14ac:dyDescent="0.35">
      <c r="A129" s="41"/>
      <c r="B129" s="46" t="s">
        <v>19</v>
      </c>
      <c r="C129" s="57">
        <v>28753362.493602041</v>
      </c>
      <c r="D129" s="41">
        <v>2021</v>
      </c>
      <c r="E129" s="41" t="s">
        <v>75</v>
      </c>
      <c r="F129" s="41" t="s">
        <v>7</v>
      </c>
      <c r="G129" s="48" t="str">
        <f t="shared" si="2"/>
        <v>CDMX</v>
      </c>
      <c r="H129" s="41"/>
      <c r="I129" s="41"/>
      <c r="J129" s="63"/>
      <c r="K129" s="41"/>
      <c r="L129" s="41"/>
      <c r="M129" s="41"/>
      <c r="N129" s="46" t="s">
        <v>18</v>
      </c>
      <c r="O129" s="50">
        <v>2974927.1954902411</v>
      </c>
      <c r="P129" s="41">
        <v>2021</v>
      </c>
      <c r="Q129" s="48" t="s">
        <v>51</v>
      </c>
      <c r="R129" s="41"/>
    </row>
    <row r="130" spans="1:18" x14ac:dyDescent="0.35">
      <c r="A130" s="41"/>
      <c r="B130" s="46" t="s">
        <v>20</v>
      </c>
      <c r="C130" s="57">
        <v>16376780.903600294</v>
      </c>
      <c r="D130" s="41">
        <v>2021</v>
      </c>
      <c r="E130" s="41" t="s">
        <v>75</v>
      </c>
      <c r="F130" s="41" t="s">
        <v>7</v>
      </c>
      <c r="G130" s="48" t="str">
        <f t="shared" si="2"/>
        <v>CDMX</v>
      </c>
      <c r="H130" s="41"/>
      <c r="I130" s="41"/>
      <c r="J130" s="63"/>
      <c r="K130" s="41"/>
      <c r="L130" s="41"/>
      <c r="M130" s="41"/>
      <c r="N130" s="46" t="s">
        <v>19</v>
      </c>
      <c r="O130" s="50">
        <v>6746315.2063671798</v>
      </c>
      <c r="P130" s="41">
        <v>2021</v>
      </c>
      <c r="Q130" s="48" t="s">
        <v>51</v>
      </c>
      <c r="R130" s="41"/>
    </row>
    <row r="131" spans="1:18" x14ac:dyDescent="0.35">
      <c r="A131" s="41"/>
      <c r="B131" s="46" t="s">
        <v>21</v>
      </c>
      <c r="C131" s="57">
        <v>10811952.949999999</v>
      </c>
      <c r="D131" s="41">
        <v>2021</v>
      </c>
      <c r="E131" s="41" t="s">
        <v>75</v>
      </c>
      <c r="F131" s="41" t="s">
        <v>7</v>
      </c>
      <c r="G131" s="48" t="str">
        <f t="shared" ref="G131:G194" si="3">VLOOKUP(F131,$T$3:$U$11,2,0)</f>
        <v>CDMX</v>
      </c>
      <c r="H131" s="41"/>
      <c r="I131" s="41"/>
      <c r="J131" s="63"/>
      <c r="K131" s="41"/>
      <c r="L131" s="41"/>
      <c r="M131" s="41"/>
      <c r="N131" s="46" t="s">
        <v>20</v>
      </c>
      <c r="O131" s="50">
        <v>3885210.2590506878</v>
      </c>
      <c r="P131" s="41">
        <v>2021</v>
      </c>
      <c r="Q131" s="48" t="s">
        <v>51</v>
      </c>
      <c r="R131" s="41"/>
    </row>
    <row r="132" spans="1:18" x14ac:dyDescent="0.35">
      <c r="A132" s="41"/>
      <c r="B132" s="46" t="s">
        <v>22</v>
      </c>
      <c r="C132" s="57">
        <v>10443317.715999929</v>
      </c>
      <c r="D132" s="41">
        <v>2021</v>
      </c>
      <c r="E132" s="41" t="s">
        <v>75</v>
      </c>
      <c r="F132" s="41" t="s">
        <v>7</v>
      </c>
      <c r="G132" s="48" t="str">
        <f t="shared" si="3"/>
        <v>CDMX</v>
      </c>
      <c r="H132" s="41"/>
      <c r="I132" s="41"/>
      <c r="J132" s="63"/>
      <c r="K132" s="41"/>
      <c r="L132" s="41"/>
      <c r="M132" s="41"/>
      <c r="N132" s="46" t="s">
        <v>21</v>
      </c>
      <c r="O132" s="50">
        <v>1907615.2559839159</v>
      </c>
      <c r="P132" s="41">
        <v>2021</v>
      </c>
      <c r="Q132" s="48" t="s">
        <v>51</v>
      </c>
      <c r="R132" s="41"/>
    </row>
    <row r="133" spans="1:18" x14ac:dyDescent="0.35">
      <c r="A133" s="41"/>
      <c r="B133" s="46" t="s">
        <v>23</v>
      </c>
      <c r="C133" s="57">
        <v>14438333.287200006</v>
      </c>
      <c r="D133" s="41">
        <v>2021</v>
      </c>
      <c r="E133" s="41" t="s">
        <v>75</v>
      </c>
      <c r="F133" s="41" t="s">
        <v>7</v>
      </c>
      <c r="G133" s="48" t="str">
        <f t="shared" si="3"/>
        <v>CDMX</v>
      </c>
      <c r="H133" s="41"/>
      <c r="I133" s="41"/>
      <c r="J133" s="63"/>
      <c r="K133" s="41"/>
      <c r="L133" s="41"/>
      <c r="M133" s="41"/>
      <c r="N133" s="46" t="s">
        <v>22</v>
      </c>
      <c r="O133" s="50">
        <v>1584577.1847742461</v>
      </c>
      <c r="P133" s="41">
        <v>2021</v>
      </c>
      <c r="Q133" s="48" t="s">
        <v>51</v>
      </c>
      <c r="R133" s="41"/>
    </row>
    <row r="134" spans="1:18" x14ac:dyDescent="0.35">
      <c r="A134" s="41"/>
      <c r="B134" s="46" t="s">
        <v>12</v>
      </c>
      <c r="C134" s="57">
        <v>37283231.418399461</v>
      </c>
      <c r="D134" s="41">
        <v>2022</v>
      </c>
      <c r="E134" s="41" t="s">
        <v>75</v>
      </c>
      <c r="F134" s="41" t="s">
        <v>7</v>
      </c>
      <c r="G134" s="48" t="str">
        <f t="shared" si="3"/>
        <v>CDMX</v>
      </c>
      <c r="H134" s="41"/>
      <c r="I134" s="41"/>
      <c r="J134" s="63"/>
      <c r="K134" s="41"/>
      <c r="L134" s="41"/>
      <c r="M134" s="41"/>
      <c r="N134" s="51" t="s">
        <v>23</v>
      </c>
      <c r="O134" s="55">
        <v>-4031714.3037230698</v>
      </c>
      <c r="P134" s="53">
        <v>2021</v>
      </c>
      <c r="Q134" s="54" t="s">
        <v>51</v>
      </c>
      <c r="R134" s="41"/>
    </row>
    <row r="135" spans="1:18" x14ac:dyDescent="0.35">
      <c r="A135" s="41"/>
      <c r="B135" s="46" t="s">
        <v>13</v>
      </c>
      <c r="C135" s="57">
        <v>13068464.879999761</v>
      </c>
      <c r="D135" s="41">
        <v>2022</v>
      </c>
      <c r="E135" s="41" t="s">
        <v>75</v>
      </c>
      <c r="F135" s="41" t="s">
        <v>7</v>
      </c>
      <c r="G135" s="48" t="str">
        <f t="shared" si="3"/>
        <v>CDMX</v>
      </c>
      <c r="H135" s="41"/>
      <c r="I135" s="41"/>
      <c r="J135" s="63"/>
      <c r="K135" s="41"/>
      <c r="L135" s="41"/>
      <c r="M135" s="41"/>
      <c r="N135" s="46" t="s">
        <v>12</v>
      </c>
      <c r="O135" s="50">
        <v>18641596.306659009</v>
      </c>
      <c r="P135" s="41">
        <v>2022</v>
      </c>
      <c r="Q135" s="48" t="s">
        <v>51</v>
      </c>
      <c r="R135" s="41"/>
    </row>
    <row r="136" spans="1:18" x14ac:dyDescent="0.35">
      <c r="A136" s="41"/>
      <c r="B136" s="46" t="s">
        <v>14</v>
      </c>
      <c r="C136" s="57">
        <v>9180713.2799997851</v>
      </c>
      <c r="D136" s="41">
        <v>2022</v>
      </c>
      <c r="E136" s="41" t="s">
        <v>75</v>
      </c>
      <c r="F136" s="41" t="s">
        <v>7</v>
      </c>
      <c r="G136" s="48" t="str">
        <f t="shared" si="3"/>
        <v>CDMX</v>
      </c>
      <c r="H136" s="41"/>
      <c r="I136" s="41"/>
      <c r="J136" s="63"/>
      <c r="K136" s="41"/>
      <c r="L136" s="41"/>
      <c r="M136" s="41"/>
      <c r="N136" s="46" t="s">
        <v>13</v>
      </c>
      <c r="O136" s="50">
        <v>1473653.7420603856</v>
      </c>
      <c r="P136" s="41">
        <v>2022</v>
      </c>
      <c r="Q136" s="48" t="s">
        <v>51</v>
      </c>
      <c r="R136" s="41"/>
    </row>
    <row r="137" spans="1:18" x14ac:dyDescent="0.35">
      <c r="A137" s="41"/>
      <c r="B137" s="46" t="s">
        <v>15</v>
      </c>
      <c r="C137" s="57">
        <v>4359706.8800000725</v>
      </c>
      <c r="D137" s="41">
        <v>2022</v>
      </c>
      <c r="E137" s="41" t="s">
        <v>75</v>
      </c>
      <c r="F137" s="41" t="s">
        <v>7</v>
      </c>
      <c r="G137" s="48" t="str">
        <f t="shared" si="3"/>
        <v>CDMX</v>
      </c>
      <c r="H137" s="41"/>
      <c r="I137" s="41"/>
      <c r="J137" s="63"/>
      <c r="K137" s="41"/>
      <c r="L137" s="41"/>
      <c r="M137" s="41"/>
      <c r="N137" s="46" t="s">
        <v>14</v>
      </c>
      <c r="O137" s="50">
        <v>962045.06764365966</v>
      </c>
      <c r="P137" s="41">
        <v>2022</v>
      </c>
      <c r="Q137" s="48" t="s">
        <v>51</v>
      </c>
      <c r="R137" s="41"/>
    </row>
    <row r="138" spans="1:18" x14ac:dyDescent="0.35">
      <c r="A138" s="41"/>
      <c r="B138" s="51" t="s">
        <v>16</v>
      </c>
      <c r="C138" s="58">
        <v>3219741.2399999914</v>
      </c>
      <c r="D138" s="53">
        <v>2022</v>
      </c>
      <c r="E138" s="53" t="s">
        <v>75</v>
      </c>
      <c r="F138" s="53" t="s">
        <v>7</v>
      </c>
      <c r="G138" s="54" t="str">
        <f t="shared" si="3"/>
        <v>CDMX</v>
      </c>
      <c r="H138" s="41"/>
      <c r="I138" s="41"/>
      <c r="J138" s="63"/>
      <c r="K138" s="41"/>
      <c r="L138" s="41"/>
      <c r="M138" s="41"/>
      <c r="N138" s="46" t="s">
        <v>15</v>
      </c>
      <c r="O138" s="50">
        <v>1151433.7540647702</v>
      </c>
      <c r="P138" s="41">
        <v>2022</v>
      </c>
      <c r="Q138" s="48" t="s">
        <v>51</v>
      </c>
      <c r="R138" s="41"/>
    </row>
    <row r="139" spans="1:18" x14ac:dyDescent="0.35">
      <c r="A139" s="41"/>
      <c r="B139" s="46" t="s">
        <v>12</v>
      </c>
      <c r="C139" s="57">
        <v>2624439.6800000002</v>
      </c>
      <c r="D139" s="41">
        <v>2021</v>
      </c>
      <c r="E139" s="41" t="s">
        <v>75</v>
      </c>
      <c r="F139" s="41" t="s">
        <v>53</v>
      </c>
      <c r="G139" s="48" t="str">
        <f t="shared" si="3"/>
        <v>Jalisco</v>
      </c>
      <c r="H139" s="41"/>
      <c r="I139" s="41"/>
      <c r="J139" s="63"/>
      <c r="K139" s="41"/>
      <c r="L139" s="41"/>
      <c r="M139" s="41"/>
      <c r="N139" s="46" t="s">
        <v>16</v>
      </c>
      <c r="O139" s="50">
        <v>-181734.04963969532</v>
      </c>
      <c r="P139" s="41">
        <v>2022</v>
      </c>
      <c r="Q139" s="48" t="s">
        <v>51</v>
      </c>
      <c r="R139" s="41"/>
    </row>
    <row r="140" spans="1:18" x14ac:dyDescent="0.35">
      <c r="A140" s="41"/>
      <c r="B140" s="46" t="s">
        <v>13</v>
      </c>
      <c r="C140" s="57">
        <v>1504520</v>
      </c>
      <c r="D140" s="41">
        <v>2021</v>
      </c>
      <c r="E140" s="41" t="s">
        <v>75</v>
      </c>
      <c r="F140" s="41" t="s">
        <v>53</v>
      </c>
      <c r="G140" s="48" t="str">
        <f t="shared" si="3"/>
        <v>Jalisco</v>
      </c>
      <c r="H140" s="41"/>
      <c r="I140" s="41"/>
      <c r="J140" s="63"/>
      <c r="K140" s="41"/>
      <c r="L140" s="41"/>
      <c r="M140" s="41"/>
      <c r="N140" s="46" t="s">
        <v>17</v>
      </c>
      <c r="O140" s="50">
        <v>0</v>
      </c>
      <c r="P140" s="41">
        <v>2022</v>
      </c>
      <c r="Q140" s="48" t="s">
        <v>51</v>
      </c>
      <c r="R140" s="41"/>
    </row>
    <row r="141" spans="1:18" x14ac:dyDescent="0.35">
      <c r="A141" s="41"/>
      <c r="B141" s="46" t="s">
        <v>14</v>
      </c>
      <c r="C141" s="57">
        <v>547752</v>
      </c>
      <c r="D141" s="41">
        <v>2021</v>
      </c>
      <c r="E141" s="41" t="s">
        <v>75</v>
      </c>
      <c r="F141" s="41" t="s">
        <v>53</v>
      </c>
      <c r="G141" s="48" t="str">
        <f t="shared" si="3"/>
        <v>Jalisco</v>
      </c>
      <c r="H141" s="41"/>
      <c r="I141" s="41"/>
      <c r="J141" s="63"/>
      <c r="K141" s="41"/>
      <c r="L141" s="41"/>
      <c r="M141" s="41"/>
      <c r="N141" s="46" t="s">
        <v>18</v>
      </c>
      <c r="O141" s="50">
        <v>0</v>
      </c>
      <c r="P141" s="41">
        <v>2022</v>
      </c>
      <c r="Q141" s="48" t="s">
        <v>51</v>
      </c>
      <c r="R141" s="41"/>
    </row>
    <row r="142" spans="1:18" x14ac:dyDescent="0.35">
      <c r="A142" s="41"/>
      <c r="B142" s="46" t="s">
        <v>15</v>
      </c>
      <c r="C142" s="57">
        <v>675468</v>
      </c>
      <c r="D142" s="41">
        <v>2021</v>
      </c>
      <c r="E142" s="41" t="s">
        <v>75</v>
      </c>
      <c r="F142" s="41" t="s">
        <v>53</v>
      </c>
      <c r="G142" s="48" t="str">
        <f t="shared" si="3"/>
        <v>Jalisco</v>
      </c>
      <c r="H142" s="41"/>
      <c r="I142" s="41"/>
      <c r="J142" s="63"/>
      <c r="K142" s="41"/>
      <c r="L142" s="41"/>
      <c r="M142" s="41"/>
      <c r="N142" s="46" t="s">
        <v>19</v>
      </c>
      <c r="O142" s="50">
        <v>0</v>
      </c>
      <c r="P142" s="41">
        <v>2022</v>
      </c>
      <c r="Q142" s="48" t="s">
        <v>51</v>
      </c>
      <c r="R142" s="41"/>
    </row>
    <row r="143" spans="1:18" x14ac:dyDescent="0.35">
      <c r="A143" s="41"/>
      <c r="B143" s="46" t="s">
        <v>16</v>
      </c>
      <c r="C143" s="57">
        <v>441380</v>
      </c>
      <c r="D143" s="41">
        <v>2021</v>
      </c>
      <c r="E143" s="41" t="s">
        <v>75</v>
      </c>
      <c r="F143" s="41" t="s">
        <v>53</v>
      </c>
      <c r="G143" s="48" t="str">
        <f t="shared" si="3"/>
        <v>Jalisco</v>
      </c>
      <c r="H143" s="41"/>
      <c r="I143" s="41"/>
      <c r="J143" s="63"/>
      <c r="K143" s="41"/>
      <c r="L143" s="41"/>
      <c r="M143" s="41"/>
      <c r="N143" s="46" t="s">
        <v>20</v>
      </c>
      <c r="O143" s="50">
        <v>0</v>
      </c>
      <c r="P143" s="41">
        <v>2022</v>
      </c>
      <c r="Q143" s="48" t="s">
        <v>51</v>
      </c>
      <c r="R143" s="41"/>
    </row>
    <row r="144" spans="1:18" x14ac:dyDescent="0.35">
      <c r="A144" s="41"/>
      <c r="B144" s="46" t="s">
        <v>17</v>
      </c>
      <c r="C144" s="57">
        <v>304268</v>
      </c>
      <c r="D144" s="41">
        <v>2021</v>
      </c>
      <c r="E144" s="41" t="s">
        <v>75</v>
      </c>
      <c r="F144" s="41" t="s">
        <v>53</v>
      </c>
      <c r="G144" s="48" t="str">
        <f t="shared" si="3"/>
        <v>Jalisco</v>
      </c>
      <c r="H144" s="41"/>
      <c r="I144" s="41"/>
      <c r="J144" s="63"/>
      <c r="K144" s="41"/>
      <c r="L144" s="41"/>
      <c r="M144" s="41"/>
      <c r="N144" s="46" t="s">
        <v>21</v>
      </c>
      <c r="O144" s="50">
        <v>0</v>
      </c>
      <c r="P144" s="41">
        <v>2022</v>
      </c>
      <c r="Q144" s="48" t="s">
        <v>51</v>
      </c>
      <c r="R144" s="41"/>
    </row>
    <row r="145" spans="1:18" x14ac:dyDescent="0.35">
      <c r="A145" s="41"/>
      <c r="B145" s="46" t="s">
        <v>18</v>
      </c>
      <c r="C145" s="57">
        <v>1015243.5999999999</v>
      </c>
      <c r="D145" s="41">
        <v>2021</v>
      </c>
      <c r="E145" s="41" t="s">
        <v>75</v>
      </c>
      <c r="F145" s="41" t="s">
        <v>53</v>
      </c>
      <c r="G145" s="48" t="str">
        <f t="shared" si="3"/>
        <v>Jalisco</v>
      </c>
      <c r="H145" s="41"/>
      <c r="I145" s="41"/>
      <c r="J145" s="63"/>
      <c r="K145" s="41"/>
      <c r="L145" s="41"/>
      <c r="M145" s="41"/>
      <c r="N145" s="46" t="s">
        <v>22</v>
      </c>
      <c r="O145" s="50">
        <v>0</v>
      </c>
      <c r="P145" s="41">
        <v>2022</v>
      </c>
      <c r="Q145" s="48" t="s">
        <v>51</v>
      </c>
      <c r="R145" s="41"/>
    </row>
    <row r="146" spans="1:18" x14ac:dyDescent="0.35">
      <c r="A146" s="41"/>
      <c r="B146" s="46" t="s">
        <v>19</v>
      </c>
      <c r="C146" s="57">
        <v>2409475.4400116</v>
      </c>
      <c r="D146" s="41">
        <v>2021</v>
      </c>
      <c r="E146" s="41" t="s">
        <v>75</v>
      </c>
      <c r="F146" s="41" t="s">
        <v>53</v>
      </c>
      <c r="G146" s="48" t="str">
        <f t="shared" si="3"/>
        <v>Jalisco</v>
      </c>
      <c r="H146" s="41"/>
      <c r="I146" s="41"/>
      <c r="J146" s="63"/>
      <c r="K146" s="41"/>
      <c r="L146" s="41"/>
      <c r="M146" s="41"/>
      <c r="N146" s="51" t="s">
        <v>23</v>
      </c>
      <c r="O146" s="55">
        <v>0</v>
      </c>
      <c r="P146" s="53">
        <v>2022</v>
      </c>
      <c r="Q146" s="54" t="s">
        <v>51</v>
      </c>
      <c r="R146" s="41"/>
    </row>
    <row r="147" spans="1:18" x14ac:dyDescent="0.35">
      <c r="A147" s="41"/>
      <c r="B147" s="46" t="s">
        <v>20</v>
      </c>
      <c r="C147" s="57">
        <v>1775670</v>
      </c>
      <c r="D147" s="41">
        <v>2021</v>
      </c>
      <c r="E147" s="41" t="s">
        <v>75</v>
      </c>
      <c r="F147" s="41" t="s">
        <v>53</v>
      </c>
      <c r="G147" s="48" t="str">
        <f t="shared" si="3"/>
        <v>Jalisco</v>
      </c>
      <c r="H147" s="41"/>
      <c r="I147" s="41"/>
      <c r="J147" s="63"/>
      <c r="K147" s="41"/>
      <c r="L147" s="41"/>
      <c r="M147" s="41"/>
      <c r="N147" s="46" t="s">
        <v>12</v>
      </c>
      <c r="O147" s="50">
        <v>9426045.3417912889</v>
      </c>
      <c r="P147" s="41">
        <v>2021</v>
      </c>
      <c r="Q147" s="48" t="s">
        <v>52</v>
      </c>
      <c r="R147" s="41"/>
    </row>
    <row r="148" spans="1:18" x14ac:dyDescent="0.35">
      <c r="A148" s="41"/>
      <c r="B148" s="46" t="s">
        <v>21</v>
      </c>
      <c r="C148" s="57">
        <v>1018132</v>
      </c>
      <c r="D148" s="41">
        <v>2021</v>
      </c>
      <c r="E148" s="41" t="s">
        <v>75</v>
      </c>
      <c r="F148" s="41" t="s">
        <v>53</v>
      </c>
      <c r="G148" s="48" t="str">
        <f t="shared" si="3"/>
        <v>Jalisco</v>
      </c>
      <c r="H148" s="41"/>
      <c r="I148" s="41"/>
      <c r="J148" s="63"/>
      <c r="K148" s="41"/>
      <c r="L148" s="41"/>
      <c r="M148" s="41"/>
      <c r="N148" s="46" t="s">
        <v>13</v>
      </c>
      <c r="O148" s="50">
        <v>9431754.0665939562</v>
      </c>
      <c r="P148" s="41">
        <v>2021</v>
      </c>
      <c r="Q148" s="48" t="s">
        <v>52</v>
      </c>
      <c r="R148" s="41"/>
    </row>
    <row r="149" spans="1:18" x14ac:dyDescent="0.35">
      <c r="A149" s="41"/>
      <c r="B149" s="46" t="s">
        <v>22</v>
      </c>
      <c r="C149" s="57">
        <v>1484680.5199999975</v>
      </c>
      <c r="D149" s="41">
        <v>2021</v>
      </c>
      <c r="E149" s="41" t="s">
        <v>75</v>
      </c>
      <c r="F149" s="41" t="s">
        <v>53</v>
      </c>
      <c r="G149" s="48" t="str">
        <f t="shared" si="3"/>
        <v>Jalisco</v>
      </c>
      <c r="H149" s="41"/>
      <c r="I149" s="41"/>
      <c r="J149" s="63"/>
      <c r="K149" s="41"/>
      <c r="L149" s="41"/>
      <c r="M149" s="41"/>
      <c r="N149" s="46" t="s">
        <v>14</v>
      </c>
      <c r="O149" s="50">
        <v>5664079.2157631768</v>
      </c>
      <c r="P149" s="41">
        <v>2021</v>
      </c>
      <c r="Q149" s="48" t="s">
        <v>52</v>
      </c>
      <c r="R149" s="41"/>
    </row>
    <row r="150" spans="1:18" x14ac:dyDescent="0.35">
      <c r="A150" s="41"/>
      <c r="B150" s="46" t="s">
        <v>23</v>
      </c>
      <c r="C150" s="57">
        <v>4250912.8</v>
      </c>
      <c r="D150" s="41">
        <v>2021</v>
      </c>
      <c r="E150" s="41" t="s">
        <v>75</v>
      </c>
      <c r="F150" s="41" t="s">
        <v>53</v>
      </c>
      <c r="G150" s="48" t="str">
        <f t="shared" si="3"/>
        <v>Jalisco</v>
      </c>
      <c r="H150" s="41"/>
      <c r="I150" s="41"/>
      <c r="J150" s="63"/>
      <c r="K150" s="41"/>
      <c r="L150" s="41"/>
      <c r="M150" s="41"/>
      <c r="N150" s="46" t="s">
        <v>15</v>
      </c>
      <c r="O150" s="50">
        <v>6845731.9489933923</v>
      </c>
      <c r="P150" s="41">
        <v>2021</v>
      </c>
      <c r="Q150" s="48" t="s">
        <v>52</v>
      </c>
      <c r="R150" s="41"/>
    </row>
    <row r="151" spans="1:18" x14ac:dyDescent="0.35">
      <c r="A151" s="41"/>
      <c r="B151" s="46" t="s">
        <v>12</v>
      </c>
      <c r="C151" s="57">
        <v>5936361.0259295758</v>
      </c>
      <c r="D151" s="41">
        <v>2022</v>
      </c>
      <c r="E151" s="41" t="s">
        <v>75</v>
      </c>
      <c r="F151" s="41" t="s">
        <v>53</v>
      </c>
      <c r="G151" s="48" t="str">
        <f t="shared" si="3"/>
        <v>Jalisco</v>
      </c>
      <c r="H151" s="41"/>
      <c r="I151" s="41"/>
      <c r="J151" s="63"/>
      <c r="K151" s="41"/>
      <c r="L151" s="41"/>
      <c r="M151" s="41"/>
      <c r="N151" s="46" t="s">
        <v>16</v>
      </c>
      <c r="O151" s="50">
        <v>2917444.9220633516</v>
      </c>
      <c r="P151" s="41">
        <v>2021</v>
      </c>
      <c r="Q151" s="48" t="s">
        <v>52</v>
      </c>
      <c r="R151" s="41"/>
    </row>
    <row r="152" spans="1:18" x14ac:dyDescent="0.35">
      <c r="A152" s="41"/>
      <c r="B152" s="46" t="s">
        <v>13</v>
      </c>
      <c r="C152" s="57">
        <v>2970771.6000000034</v>
      </c>
      <c r="D152" s="41">
        <v>2022</v>
      </c>
      <c r="E152" s="41" t="s">
        <v>75</v>
      </c>
      <c r="F152" s="41" t="s">
        <v>53</v>
      </c>
      <c r="G152" s="48" t="str">
        <f t="shared" si="3"/>
        <v>Jalisco</v>
      </c>
      <c r="H152" s="41"/>
      <c r="I152" s="41"/>
      <c r="J152" s="63"/>
      <c r="K152" s="41"/>
      <c r="L152" s="41"/>
      <c r="M152" s="41"/>
      <c r="N152" s="46" t="s">
        <v>17</v>
      </c>
      <c r="O152" s="50">
        <v>3726980.1308371136</v>
      </c>
      <c r="P152" s="41">
        <v>2021</v>
      </c>
      <c r="Q152" s="48" t="s">
        <v>52</v>
      </c>
      <c r="R152" s="41"/>
    </row>
    <row r="153" spans="1:18" x14ac:dyDescent="0.35">
      <c r="A153" s="41"/>
      <c r="B153" s="46" t="s">
        <v>14</v>
      </c>
      <c r="C153" s="57">
        <v>1180578.3999999997</v>
      </c>
      <c r="D153" s="41">
        <v>2022</v>
      </c>
      <c r="E153" s="41" t="s">
        <v>75</v>
      </c>
      <c r="F153" s="41" t="s">
        <v>53</v>
      </c>
      <c r="G153" s="48" t="str">
        <f t="shared" si="3"/>
        <v>Jalisco</v>
      </c>
      <c r="H153" s="41"/>
      <c r="I153" s="41"/>
      <c r="J153" s="63"/>
      <c r="K153" s="41"/>
      <c r="L153" s="41"/>
      <c r="M153" s="41"/>
      <c r="N153" s="46" t="s">
        <v>18</v>
      </c>
      <c r="O153" s="50">
        <v>3185556.8364189528</v>
      </c>
      <c r="P153" s="41">
        <v>2021</v>
      </c>
      <c r="Q153" s="48" t="s">
        <v>52</v>
      </c>
      <c r="R153" s="41"/>
    </row>
    <row r="154" spans="1:18" x14ac:dyDescent="0.35">
      <c r="A154" s="41"/>
      <c r="B154" s="46" t="s">
        <v>15</v>
      </c>
      <c r="C154" s="57">
        <v>306738.80000000005</v>
      </c>
      <c r="D154" s="41">
        <v>2022</v>
      </c>
      <c r="E154" s="41" t="s">
        <v>75</v>
      </c>
      <c r="F154" s="41" t="s">
        <v>53</v>
      </c>
      <c r="G154" s="48" t="str">
        <f t="shared" si="3"/>
        <v>Jalisco</v>
      </c>
      <c r="H154" s="41"/>
      <c r="I154" s="41"/>
      <c r="J154" s="63"/>
      <c r="K154" s="41"/>
      <c r="L154" s="41"/>
      <c r="M154" s="41"/>
      <c r="N154" s="46" t="s">
        <v>19</v>
      </c>
      <c r="O154" s="50">
        <v>4372285.5546697937</v>
      </c>
      <c r="P154" s="41">
        <v>2021</v>
      </c>
      <c r="Q154" s="48" t="s">
        <v>52</v>
      </c>
      <c r="R154" s="41"/>
    </row>
    <row r="155" spans="1:18" x14ac:dyDescent="0.35">
      <c r="A155" s="41"/>
      <c r="B155" s="51" t="s">
        <v>16</v>
      </c>
      <c r="C155" s="58">
        <v>297493.59999999998</v>
      </c>
      <c r="D155" s="53">
        <v>2022</v>
      </c>
      <c r="E155" s="53" t="s">
        <v>75</v>
      </c>
      <c r="F155" s="53" t="s">
        <v>53</v>
      </c>
      <c r="G155" s="54" t="str">
        <f t="shared" si="3"/>
        <v>Jalisco</v>
      </c>
      <c r="H155" s="41"/>
      <c r="I155" s="41"/>
      <c r="J155" s="63"/>
      <c r="K155" s="41"/>
      <c r="L155" s="41"/>
      <c r="M155" s="41"/>
      <c r="N155" s="46" t="s">
        <v>20</v>
      </c>
      <c r="O155" s="50">
        <v>1444046.2631931854</v>
      </c>
      <c r="P155" s="41">
        <v>2021</v>
      </c>
      <c r="Q155" s="48" t="s">
        <v>52</v>
      </c>
      <c r="R155" s="41"/>
    </row>
    <row r="156" spans="1:18" x14ac:dyDescent="0.35">
      <c r="A156" s="41"/>
      <c r="B156" s="46" t="s">
        <v>12</v>
      </c>
      <c r="C156" s="57">
        <v>188701.2696</v>
      </c>
      <c r="D156" s="41">
        <v>2021</v>
      </c>
      <c r="E156" s="41" t="s">
        <v>77</v>
      </c>
      <c r="F156" s="41" t="s">
        <v>31</v>
      </c>
      <c r="G156" s="48" t="str">
        <f t="shared" si="3"/>
        <v>Oaxaca</v>
      </c>
      <c r="H156" s="41"/>
      <c r="I156" s="41"/>
      <c r="J156" s="63"/>
      <c r="K156" s="41"/>
      <c r="L156" s="41"/>
      <c r="M156" s="41"/>
      <c r="N156" s="46" t="s">
        <v>21</v>
      </c>
      <c r="O156" s="50">
        <v>2683059.1283531361</v>
      </c>
      <c r="P156" s="41">
        <v>2021</v>
      </c>
      <c r="Q156" s="48" t="s">
        <v>52</v>
      </c>
      <c r="R156" s="41"/>
    </row>
    <row r="157" spans="1:18" x14ac:dyDescent="0.35">
      <c r="A157" s="41"/>
      <c r="B157" s="46" t="s">
        <v>13</v>
      </c>
      <c r="C157" s="57">
        <v>226963.02360000001</v>
      </c>
      <c r="D157" s="41">
        <v>2021</v>
      </c>
      <c r="E157" s="41" t="s">
        <v>77</v>
      </c>
      <c r="F157" s="41" t="s">
        <v>31</v>
      </c>
      <c r="G157" s="48" t="str">
        <f t="shared" si="3"/>
        <v>Oaxaca</v>
      </c>
      <c r="H157" s="41"/>
      <c r="I157" s="41"/>
      <c r="J157" s="63"/>
      <c r="K157" s="41"/>
      <c r="L157" s="41"/>
      <c r="M157" s="41"/>
      <c r="N157" s="46" t="s">
        <v>22</v>
      </c>
      <c r="O157" s="50">
        <v>2834220.7386138057</v>
      </c>
      <c r="P157" s="41">
        <v>2021</v>
      </c>
      <c r="Q157" s="48" t="s">
        <v>52</v>
      </c>
      <c r="R157" s="41"/>
    </row>
    <row r="158" spans="1:18" x14ac:dyDescent="0.35">
      <c r="A158" s="41"/>
      <c r="B158" s="46" t="s">
        <v>14</v>
      </c>
      <c r="C158" s="57">
        <v>213680.52000000002</v>
      </c>
      <c r="D158" s="41">
        <v>2021</v>
      </c>
      <c r="E158" s="41" t="s">
        <v>77</v>
      </c>
      <c r="F158" s="41" t="s">
        <v>31</v>
      </c>
      <c r="G158" s="48" t="str">
        <f t="shared" si="3"/>
        <v>Oaxaca</v>
      </c>
      <c r="H158" s="41"/>
      <c r="I158" s="41"/>
      <c r="J158" s="63"/>
      <c r="K158" s="41"/>
      <c r="L158" s="41"/>
      <c r="M158" s="41"/>
      <c r="N158" s="51" t="s">
        <v>23</v>
      </c>
      <c r="O158" s="55">
        <v>876944.16618284769</v>
      </c>
      <c r="P158" s="53">
        <v>2021</v>
      </c>
      <c r="Q158" s="54" t="s">
        <v>52</v>
      </c>
      <c r="R158" s="41"/>
    </row>
    <row r="159" spans="1:18" x14ac:dyDescent="0.35">
      <c r="A159" s="41"/>
      <c r="B159" s="46" t="s">
        <v>15</v>
      </c>
      <c r="C159" s="57">
        <v>381381.46840000001</v>
      </c>
      <c r="D159" s="41">
        <v>2021</v>
      </c>
      <c r="E159" s="41" t="s">
        <v>77</v>
      </c>
      <c r="F159" s="41" t="s">
        <v>31</v>
      </c>
      <c r="G159" s="48" t="str">
        <f t="shared" si="3"/>
        <v>Oaxaca</v>
      </c>
      <c r="H159" s="41"/>
      <c r="I159" s="41"/>
      <c r="J159" s="63"/>
      <c r="K159" s="41"/>
      <c r="L159" s="41"/>
      <c r="M159" s="41"/>
      <c r="N159" s="46" t="s">
        <v>12</v>
      </c>
      <c r="O159" s="50">
        <v>15951930.802482057</v>
      </c>
      <c r="P159" s="41">
        <v>2022</v>
      </c>
      <c r="Q159" s="48" t="s">
        <v>52</v>
      </c>
      <c r="R159" s="41"/>
    </row>
    <row r="160" spans="1:18" x14ac:dyDescent="0.35">
      <c r="A160" s="41"/>
      <c r="B160" s="46" t="s">
        <v>16</v>
      </c>
      <c r="C160" s="57">
        <v>15836.389599999995</v>
      </c>
      <c r="D160" s="41">
        <v>2021</v>
      </c>
      <c r="E160" s="41" t="s">
        <v>77</v>
      </c>
      <c r="F160" s="41" t="s">
        <v>31</v>
      </c>
      <c r="G160" s="48" t="str">
        <f t="shared" si="3"/>
        <v>Oaxaca</v>
      </c>
      <c r="H160" s="41"/>
      <c r="I160" s="41"/>
      <c r="J160" s="63"/>
      <c r="K160" s="41"/>
      <c r="L160" s="41"/>
      <c r="M160" s="41"/>
      <c r="N160" s="46" t="s">
        <v>13</v>
      </c>
      <c r="O160" s="50">
        <v>2539503.5985810515</v>
      </c>
      <c r="P160" s="41">
        <v>2022</v>
      </c>
      <c r="Q160" s="48" t="s">
        <v>52</v>
      </c>
      <c r="R160" s="41"/>
    </row>
    <row r="161" spans="1:18" x14ac:dyDescent="0.35">
      <c r="A161" s="41"/>
      <c r="B161" s="46" t="s">
        <v>17</v>
      </c>
      <c r="C161" s="57">
        <v>340532.37239999999</v>
      </c>
      <c r="D161" s="41">
        <v>2021</v>
      </c>
      <c r="E161" s="41" t="s">
        <v>77</v>
      </c>
      <c r="F161" s="41" t="s">
        <v>31</v>
      </c>
      <c r="G161" s="48" t="str">
        <f t="shared" si="3"/>
        <v>Oaxaca</v>
      </c>
      <c r="H161" s="41"/>
      <c r="I161" s="41"/>
      <c r="J161" s="63"/>
      <c r="K161" s="41"/>
      <c r="L161" s="41"/>
      <c r="M161" s="41"/>
      <c r="N161" s="46" t="s">
        <v>14</v>
      </c>
      <c r="O161" s="50">
        <v>525393.18546483479</v>
      </c>
      <c r="P161" s="41">
        <v>2022</v>
      </c>
      <c r="Q161" s="48" t="s">
        <v>52</v>
      </c>
      <c r="R161" s="41"/>
    </row>
    <row r="162" spans="1:18" x14ac:dyDescent="0.35">
      <c r="A162" s="41"/>
      <c r="B162" s="46" t="s">
        <v>18</v>
      </c>
      <c r="C162" s="57">
        <v>243457.14599999989</v>
      </c>
      <c r="D162" s="41">
        <v>2021</v>
      </c>
      <c r="E162" s="41" t="s">
        <v>77</v>
      </c>
      <c r="F162" s="41" t="s">
        <v>31</v>
      </c>
      <c r="G162" s="48" t="str">
        <f t="shared" si="3"/>
        <v>Oaxaca</v>
      </c>
      <c r="H162" s="41"/>
      <c r="I162" s="41"/>
      <c r="J162" s="63"/>
      <c r="K162" s="41"/>
      <c r="L162" s="41"/>
      <c r="M162" s="41"/>
      <c r="N162" s="46" t="s">
        <v>15</v>
      </c>
      <c r="O162" s="50">
        <v>-300771.35936486954</v>
      </c>
      <c r="P162" s="41">
        <v>2022</v>
      </c>
      <c r="Q162" s="48" t="s">
        <v>52</v>
      </c>
      <c r="R162" s="41"/>
    </row>
    <row r="163" spans="1:18" x14ac:dyDescent="0.35">
      <c r="A163" s="41"/>
      <c r="B163" s="46" t="s">
        <v>19</v>
      </c>
      <c r="C163" s="57">
        <v>191801.82400000002</v>
      </c>
      <c r="D163" s="41">
        <v>2021</v>
      </c>
      <c r="E163" s="41" t="s">
        <v>77</v>
      </c>
      <c r="F163" s="41" t="s">
        <v>31</v>
      </c>
      <c r="G163" s="48" t="str">
        <f t="shared" si="3"/>
        <v>Oaxaca</v>
      </c>
      <c r="H163" s="41"/>
      <c r="I163" s="41"/>
      <c r="J163" s="63"/>
      <c r="K163" s="41"/>
      <c r="L163" s="41"/>
      <c r="M163" s="41"/>
      <c r="N163" s="46" t="s">
        <v>16</v>
      </c>
      <c r="O163" s="50">
        <v>-1808533.1548928306</v>
      </c>
      <c r="P163" s="41">
        <v>2022</v>
      </c>
      <c r="Q163" s="48" t="s">
        <v>52</v>
      </c>
      <c r="R163" s="41"/>
    </row>
    <row r="164" spans="1:18" x14ac:dyDescent="0.35">
      <c r="A164" s="41"/>
      <c r="B164" s="46" t="s">
        <v>20</v>
      </c>
      <c r="C164" s="57">
        <v>190647.99520000003</v>
      </c>
      <c r="D164" s="41">
        <v>2021</v>
      </c>
      <c r="E164" s="41" t="s">
        <v>77</v>
      </c>
      <c r="F164" s="41" t="s">
        <v>31</v>
      </c>
      <c r="G164" s="48" t="str">
        <f t="shared" si="3"/>
        <v>Oaxaca</v>
      </c>
      <c r="H164" s="41"/>
      <c r="I164" s="41"/>
      <c r="J164" s="63"/>
      <c r="K164" s="41"/>
      <c r="L164" s="41"/>
      <c r="M164" s="41"/>
      <c r="N164" s="46" t="s">
        <v>17</v>
      </c>
      <c r="O164" s="50">
        <v>0</v>
      </c>
      <c r="P164" s="41">
        <v>2022</v>
      </c>
      <c r="Q164" s="48" t="s">
        <v>52</v>
      </c>
      <c r="R164" s="41"/>
    </row>
    <row r="165" spans="1:18" x14ac:dyDescent="0.35">
      <c r="A165" s="41"/>
      <c r="B165" s="46" t="s">
        <v>21</v>
      </c>
      <c r="C165" s="57">
        <v>180715.44</v>
      </c>
      <c r="D165" s="41">
        <v>2021</v>
      </c>
      <c r="E165" s="41" t="s">
        <v>77</v>
      </c>
      <c r="F165" s="41" t="s">
        <v>31</v>
      </c>
      <c r="G165" s="48" t="str">
        <f t="shared" si="3"/>
        <v>Oaxaca</v>
      </c>
      <c r="H165" s="41"/>
      <c r="I165" s="41"/>
      <c r="J165" s="63"/>
      <c r="K165" s="41"/>
      <c r="L165" s="41"/>
      <c r="M165" s="41"/>
      <c r="N165" s="46" t="s">
        <v>18</v>
      </c>
      <c r="O165" s="50">
        <v>0</v>
      </c>
      <c r="P165" s="41">
        <v>2022</v>
      </c>
      <c r="Q165" s="48" t="s">
        <v>52</v>
      </c>
      <c r="R165" s="41"/>
    </row>
    <row r="166" spans="1:18" x14ac:dyDescent="0.35">
      <c r="A166" s="41"/>
      <c r="B166" s="46" t="s">
        <v>22</v>
      </c>
      <c r="C166" s="57">
        <v>150975.16000000015</v>
      </c>
      <c r="D166" s="41">
        <v>2021</v>
      </c>
      <c r="E166" s="41" t="s">
        <v>77</v>
      </c>
      <c r="F166" s="41" t="s">
        <v>31</v>
      </c>
      <c r="G166" s="48" t="str">
        <f t="shared" si="3"/>
        <v>Oaxaca</v>
      </c>
      <c r="H166" s="41"/>
      <c r="I166" s="41"/>
      <c r="J166" s="63"/>
      <c r="K166" s="41"/>
      <c r="L166" s="41"/>
      <c r="M166" s="41"/>
      <c r="N166" s="46" t="s">
        <v>19</v>
      </c>
      <c r="O166" s="50">
        <v>0</v>
      </c>
      <c r="P166" s="41">
        <v>2022</v>
      </c>
      <c r="Q166" s="48" t="s">
        <v>52</v>
      </c>
      <c r="R166" s="41"/>
    </row>
    <row r="167" spans="1:18" x14ac:dyDescent="0.35">
      <c r="A167" s="41"/>
      <c r="B167" s="46" t="s">
        <v>23</v>
      </c>
      <c r="C167" s="57">
        <v>159784.432</v>
      </c>
      <c r="D167" s="41">
        <v>2021</v>
      </c>
      <c r="E167" s="41" t="s">
        <v>77</v>
      </c>
      <c r="F167" s="41" t="s">
        <v>31</v>
      </c>
      <c r="G167" s="48" t="str">
        <f t="shared" si="3"/>
        <v>Oaxaca</v>
      </c>
      <c r="H167" s="41"/>
      <c r="I167" s="41"/>
      <c r="J167" s="63"/>
      <c r="K167" s="41"/>
      <c r="L167" s="41"/>
      <c r="M167" s="41"/>
      <c r="N167" s="46" t="s">
        <v>20</v>
      </c>
      <c r="O167" s="50">
        <v>0</v>
      </c>
      <c r="P167" s="41">
        <v>2022</v>
      </c>
      <c r="Q167" s="48" t="s">
        <v>52</v>
      </c>
      <c r="R167" s="41"/>
    </row>
    <row r="168" spans="1:18" x14ac:dyDescent="0.35">
      <c r="A168" s="41"/>
      <c r="B168" s="46" t="s">
        <v>12</v>
      </c>
      <c r="C168" s="57">
        <v>176794.35</v>
      </c>
      <c r="D168" s="41">
        <v>2022</v>
      </c>
      <c r="E168" s="41" t="s">
        <v>77</v>
      </c>
      <c r="F168" s="41" t="s">
        <v>31</v>
      </c>
      <c r="G168" s="48" t="str">
        <f t="shared" si="3"/>
        <v>Oaxaca</v>
      </c>
      <c r="H168" s="41"/>
      <c r="I168" s="41"/>
      <c r="J168" s="63"/>
      <c r="K168" s="41"/>
      <c r="L168" s="41"/>
      <c r="M168" s="41"/>
      <c r="N168" s="46" t="s">
        <v>21</v>
      </c>
      <c r="O168" s="50">
        <v>0</v>
      </c>
      <c r="P168" s="41">
        <v>2022</v>
      </c>
      <c r="Q168" s="48" t="s">
        <v>52</v>
      </c>
      <c r="R168" s="41"/>
    </row>
    <row r="169" spans="1:18" x14ac:dyDescent="0.35">
      <c r="A169" s="41"/>
      <c r="B169" s="46" t="s">
        <v>13</v>
      </c>
      <c r="C169" s="57">
        <v>189379.26839999997</v>
      </c>
      <c r="D169" s="41">
        <v>2022</v>
      </c>
      <c r="E169" s="41" t="s">
        <v>77</v>
      </c>
      <c r="F169" s="41" t="s">
        <v>31</v>
      </c>
      <c r="G169" s="48" t="str">
        <f t="shared" si="3"/>
        <v>Oaxaca</v>
      </c>
      <c r="H169" s="41"/>
      <c r="I169" s="41"/>
      <c r="J169" s="63"/>
      <c r="K169" s="41"/>
      <c r="L169" s="41"/>
      <c r="M169" s="41"/>
      <c r="N169" s="46" t="s">
        <v>22</v>
      </c>
      <c r="O169" s="50">
        <v>0</v>
      </c>
      <c r="P169" s="41">
        <v>2022</v>
      </c>
      <c r="Q169" s="48" t="s">
        <v>52</v>
      </c>
      <c r="R169" s="41"/>
    </row>
    <row r="170" spans="1:18" x14ac:dyDescent="0.35">
      <c r="A170" s="41"/>
      <c r="B170" s="46" t="s">
        <v>14</v>
      </c>
      <c r="C170" s="57">
        <v>196286.56959999999</v>
      </c>
      <c r="D170" s="41">
        <v>2022</v>
      </c>
      <c r="E170" s="41" t="s">
        <v>77</v>
      </c>
      <c r="F170" s="41" t="s">
        <v>31</v>
      </c>
      <c r="G170" s="48" t="str">
        <f t="shared" si="3"/>
        <v>Oaxaca</v>
      </c>
      <c r="H170" s="41"/>
      <c r="I170" s="41"/>
      <c r="J170" s="63"/>
      <c r="K170" s="41"/>
      <c r="L170" s="41"/>
      <c r="M170" s="41"/>
      <c r="N170" s="51" t="s">
        <v>23</v>
      </c>
      <c r="O170" s="55">
        <v>0</v>
      </c>
      <c r="P170" s="53">
        <v>2022</v>
      </c>
      <c r="Q170" s="54" t="s">
        <v>52</v>
      </c>
      <c r="R170" s="41"/>
    </row>
    <row r="171" spans="1:18" x14ac:dyDescent="0.35">
      <c r="A171" s="41"/>
      <c r="B171" s="46" t="s">
        <v>15</v>
      </c>
      <c r="C171" s="57">
        <v>196528.71959999998</v>
      </c>
      <c r="D171" s="41">
        <v>2022</v>
      </c>
      <c r="E171" s="41" t="s">
        <v>77</v>
      </c>
      <c r="F171" s="41" t="s">
        <v>31</v>
      </c>
      <c r="G171" s="48" t="str">
        <f t="shared" si="3"/>
        <v>Oaxaca</v>
      </c>
      <c r="H171" s="41"/>
      <c r="I171" s="41"/>
      <c r="J171" s="63"/>
      <c r="K171" s="41"/>
      <c r="L171" s="41"/>
      <c r="M171" s="41"/>
      <c r="N171" s="46" t="s">
        <v>12</v>
      </c>
      <c r="O171" s="50">
        <v>0</v>
      </c>
      <c r="P171" s="41">
        <v>2021</v>
      </c>
      <c r="Q171" s="48" t="s">
        <v>53</v>
      </c>
      <c r="R171" s="41"/>
    </row>
    <row r="172" spans="1:18" x14ac:dyDescent="0.35">
      <c r="A172" s="41"/>
      <c r="B172" s="51" t="s">
        <v>16</v>
      </c>
      <c r="C172" s="58"/>
      <c r="D172" s="53">
        <v>2022</v>
      </c>
      <c r="E172" s="53" t="s">
        <v>77</v>
      </c>
      <c r="F172" s="53" t="s">
        <v>31</v>
      </c>
      <c r="G172" s="54" t="str">
        <f t="shared" si="3"/>
        <v>Oaxaca</v>
      </c>
      <c r="H172" s="41"/>
      <c r="I172" s="41"/>
      <c r="J172" s="63"/>
      <c r="K172" s="41"/>
      <c r="L172" s="41"/>
      <c r="M172" s="41"/>
      <c r="N172" s="46" t="s">
        <v>13</v>
      </c>
      <c r="O172" s="50">
        <v>0</v>
      </c>
      <c r="P172" s="41">
        <v>2021</v>
      </c>
      <c r="Q172" s="48" t="s">
        <v>53</v>
      </c>
      <c r="R172" s="41"/>
    </row>
    <row r="173" spans="1:18" x14ac:dyDescent="0.35">
      <c r="A173" s="41"/>
      <c r="B173" s="46" t="s">
        <v>12</v>
      </c>
      <c r="C173" s="57">
        <v>231613.31760000001</v>
      </c>
      <c r="D173" s="41">
        <v>2021</v>
      </c>
      <c r="E173" s="41" t="s">
        <v>77</v>
      </c>
      <c r="F173" s="41" t="s">
        <v>48</v>
      </c>
      <c r="G173" s="48" t="str">
        <f>VLOOKUP(F173,$T$3:$U$12,2,0)</f>
        <v>Campeche</v>
      </c>
      <c r="H173" s="41"/>
      <c r="I173" s="41"/>
      <c r="J173" s="63"/>
      <c r="K173" s="41"/>
      <c r="L173" s="41"/>
      <c r="M173" s="41"/>
      <c r="N173" s="46" t="s">
        <v>14</v>
      </c>
      <c r="O173" s="50">
        <v>0</v>
      </c>
      <c r="P173" s="41">
        <v>2021</v>
      </c>
      <c r="Q173" s="48" t="s">
        <v>53</v>
      </c>
      <c r="R173" s="41"/>
    </row>
    <row r="174" spans="1:18" x14ac:dyDescent="0.35">
      <c r="A174" s="41"/>
      <c r="B174" s="46" t="s">
        <v>13</v>
      </c>
      <c r="C174" s="57">
        <v>260136.584</v>
      </c>
      <c r="D174" s="41">
        <v>2021</v>
      </c>
      <c r="E174" s="41" t="s">
        <v>77</v>
      </c>
      <c r="F174" s="41" t="s">
        <v>48</v>
      </c>
      <c r="G174" s="48" t="str">
        <f t="shared" ref="G174:G189" si="4">VLOOKUP(F174,$T$3:$U$12,2,0)</f>
        <v>Campeche</v>
      </c>
      <c r="H174" s="41"/>
      <c r="I174" s="41"/>
      <c r="J174" s="63"/>
      <c r="K174" s="41"/>
      <c r="L174" s="41"/>
      <c r="M174" s="41"/>
      <c r="N174" s="46" t="s">
        <v>15</v>
      </c>
      <c r="O174" s="50">
        <v>0</v>
      </c>
      <c r="P174" s="41">
        <v>2021</v>
      </c>
      <c r="Q174" s="48" t="s">
        <v>53</v>
      </c>
      <c r="R174" s="41"/>
    </row>
    <row r="175" spans="1:18" x14ac:dyDescent="0.35">
      <c r="A175" s="41"/>
      <c r="B175" s="46" t="s">
        <v>14</v>
      </c>
      <c r="C175" s="57">
        <v>290142.9976</v>
      </c>
      <c r="D175" s="41">
        <v>2021</v>
      </c>
      <c r="E175" s="41" t="s">
        <v>77</v>
      </c>
      <c r="F175" s="41" t="s">
        <v>48</v>
      </c>
      <c r="G175" s="48" t="str">
        <f t="shared" si="4"/>
        <v>Campeche</v>
      </c>
      <c r="H175" s="41"/>
      <c r="I175" s="41"/>
      <c r="J175" s="63"/>
      <c r="K175" s="41"/>
      <c r="L175" s="41"/>
      <c r="M175" s="41"/>
      <c r="N175" s="46" t="s">
        <v>16</v>
      </c>
      <c r="O175" s="50">
        <v>0</v>
      </c>
      <c r="P175" s="41">
        <v>2021</v>
      </c>
      <c r="Q175" s="48" t="s">
        <v>53</v>
      </c>
      <c r="R175" s="41"/>
    </row>
    <row r="176" spans="1:18" x14ac:dyDescent="0.35">
      <c r="A176" s="41"/>
      <c r="B176" s="46" t="s">
        <v>15</v>
      </c>
      <c r="C176" s="57">
        <v>548745.18000000005</v>
      </c>
      <c r="D176" s="41">
        <v>2021</v>
      </c>
      <c r="E176" s="41" t="s">
        <v>77</v>
      </c>
      <c r="F176" s="41" t="s">
        <v>48</v>
      </c>
      <c r="G176" s="48" t="str">
        <f t="shared" si="4"/>
        <v>Campeche</v>
      </c>
      <c r="H176" s="41"/>
      <c r="I176" s="41"/>
      <c r="J176" s="63"/>
      <c r="K176" s="41"/>
      <c r="L176" s="41"/>
      <c r="M176" s="41"/>
      <c r="N176" s="46" t="s">
        <v>17</v>
      </c>
      <c r="O176" s="50">
        <v>0</v>
      </c>
      <c r="P176" s="41">
        <v>2021</v>
      </c>
      <c r="Q176" s="48" t="s">
        <v>53</v>
      </c>
      <c r="R176" s="41"/>
    </row>
    <row r="177" spans="1:18" x14ac:dyDescent="0.35">
      <c r="A177" s="41"/>
      <c r="B177" s="46" t="s">
        <v>16</v>
      </c>
      <c r="C177" s="57">
        <v>6145.158000000054</v>
      </c>
      <c r="D177" s="41">
        <v>2021</v>
      </c>
      <c r="E177" s="41" t="s">
        <v>77</v>
      </c>
      <c r="F177" s="41" t="s">
        <v>48</v>
      </c>
      <c r="G177" s="48" t="str">
        <f t="shared" si="4"/>
        <v>Campeche</v>
      </c>
      <c r="H177" s="41"/>
      <c r="I177" s="41"/>
      <c r="J177" s="63"/>
      <c r="K177" s="41"/>
      <c r="L177" s="41"/>
      <c r="M177" s="41"/>
      <c r="N177" s="46" t="s">
        <v>18</v>
      </c>
      <c r="O177" s="50">
        <v>1446772.6981112799</v>
      </c>
      <c r="P177" s="41">
        <v>2021</v>
      </c>
      <c r="Q177" s="48" t="s">
        <v>53</v>
      </c>
      <c r="R177" s="41"/>
    </row>
    <row r="178" spans="1:18" x14ac:dyDescent="0.35">
      <c r="A178" s="41"/>
      <c r="B178" s="46" t="s">
        <v>17</v>
      </c>
      <c r="C178" s="57">
        <v>482865.30039999995</v>
      </c>
      <c r="D178" s="41">
        <v>2021</v>
      </c>
      <c r="E178" s="41" t="s">
        <v>77</v>
      </c>
      <c r="F178" s="41" t="s">
        <v>48</v>
      </c>
      <c r="G178" s="48" t="str">
        <f t="shared" si="4"/>
        <v>Campeche</v>
      </c>
      <c r="H178" s="41"/>
      <c r="I178" s="41"/>
      <c r="J178" s="63"/>
      <c r="K178" s="41"/>
      <c r="L178" s="41"/>
      <c r="M178" s="41"/>
      <c r="N178" s="46" t="s">
        <v>19</v>
      </c>
      <c r="O178" s="50">
        <v>2039033.6799200419</v>
      </c>
      <c r="P178" s="41">
        <v>2021</v>
      </c>
      <c r="Q178" s="48" t="s">
        <v>53</v>
      </c>
      <c r="R178" s="41"/>
    </row>
    <row r="179" spans="1:18" x14ac:dyDescent="0.35">
      <c r="A179" s="41"/>
      <c r="B179" s="46" t="s">
        <v>18</v>
      </c>
      <c r="C179" s="57">
        <v>329174.00039999984</v>
      </c>
      <c r="D179" s="41">
        <v>2021</v>
      </c>
      <c r="E179" s="41" t="s">
        <v>77</v>
      </c>
      <c r="F179" s="41" t="s">
        <v>48</v>
      </c>
      <c r="G179" s="48" t="str">
        <f t="shared" si="4"/>
        <v>Campeche</v>
      </c>
      <c r="H179" s="41"/>
      <c r="I179" s="41"/>
      <c r="J179" s="63"/>
      <c r="K179" s="41"/>
      <c r="L179" s="41"/>
      <c r="M179" s="41"/>
      <c r="N179" s="46" t="s">
        <v>20</v>
      </c>
      <c r="O179" s="50">
        <v>1396734.8415515348</v>
      </c>
      <c r="P179" s="41">
        <v>2021</v>
      </c>
      <c r="Q179" s="48" t="s">
        <v>53</v>
      </c>
      <c r="R179" s="41"/>
    </row>
    <row r="180" spans="1:18" x14ac:dyDescent="0.35">
      <c r="A180" s="41"/>
      <c r="B180" s="46" t="s">
        <v>19</v>
      </c>
      <c r="C180" s="57">
        <v>295318.25200000004</v>
      </c>
      <c r="D180" s="41">
        <v>2021</v>
      </c>
      <c r="E180" s="41" t="s">
        <v>77</v>
      </c>
      <c r="F180" s="41" t="s">
        <v>48</v>
      </c>
      <c r="G180" s="48" t="str">
        <f t="shared" si="4"/>
        <v>Campeche</v>
      </c>
      <c r="H180" s="41"/>
      <c r="I180" s="41"/>
      <c r="J180" s="63"/>
      <c r="K180" s="41"/>
      <c r="L180" s="41"/>
      <c r="M180" s="41"/>
      <c r="N180" s="46" t="s">
        <v>21</v>
      </c>
      <c r="O180" s="50">
        <v>579959.63779178564</v>
      </c>
      <c r="P180" s="41">
        <v>2021</v>
      </c>
      <c r="Q180" s="48" t="s">
        <v>53</v>
      </c>
      <c r="R180" s="41"/>
    </row>
    <row r="181" spans="1:18" x14ac:dyDescent="0.35">
      <c r="A181" s="41"/>
      <c r="B181" s="46" t="s">
        <v>20</v>
      </c>
      <c r="C181" s="57">
        <v>282610.45199999982</v>
      </c>
      <c r="D181" s="41">
        <v>2021</v>
      </c>
      <c r="E181" s="41" t="s">
        <v>77</v>
      </c>
      <c r="F181" s="41" t="s">
        <v>48</v>
      </c>
      <c r="G181" s="48" t="str">
        <f t="shared" si="4"/>
        <v>Campeche</v>
      </c>
      <c r="H181" s="41"/>
      <c r="I181" s="41"/>
      <c r="J181" s="63"/>
      <c r="K181" s="41"/>
      <c r="L181" s="41"/>
      <c r="M181" s="41"/>
      <c r="N181" s="46" t="s">
        <v>22</v>
      </c>
      <c r="O181" s="50">
        <v>1357772.4997538617</v>
      </c>
      <c r="P181" s="41">
        <v>2021</v>
      </c>
      <c r="Q181" s="48" t="s">
        <v>53</v>
      </c>
      <c r="R181" s="41"/>
    </row>
    <row r="182" spans="1:18" x14ac:dyDescent="0.35">
      <c r="A182" s="41"/>
      <c r="B182" s="46" t="s">
        <v>21</v>
      </c>
      <c r="C182" s="57">
        <v>286355.28999999998</v>
      </c>
      <c r="D182" s="41">
        <v>2021</v>
      </c>
      <c r="E182" s="41" t="s">
        <v>77</v>
      </c>
      <c r="F182" s="41" t="s">
        <v>48</v>
      </c>
      <c r="G182" s="48" t="str">
        <f t="shared" si="4"/>
        <v>Campeche</v>
      </c>
      <c r="H182" s="41"/>
      <c r="I182" s="41"/>
      <c r="J182" s="63"/>
      <c r="K182" s="41"/>
      <c r="L182" s="41"/>
      <c r="M182" s="41"/>
      <c r="N182" s="51" t="s">
        <v>23</v>
      </c>
      <c r="O182" s="55">
        <v>3427393.7242707498</v>
      </c>
      <c r="P182" s="53">
        <v>2021</v>
      </c>
      <c r="Q182" s="54" t="s">
        <v>53</v>
      </c>
      <c r="R182" s="41"/>
    </row>
    <row r="183" spans="1:18" x14ac:dyDescent="0.35">
      <c r="A183" s="41"/>
      <c r="B183" s="46" t="s">
        <v>22</v>
      </c>
      <c r="C183" s="57">
        <v>264101.07439999992</v>
      </c>
      <c r="D183" s="41">
        <v>2021</v>
      </c>
      <c r="E183" s="41" t="s">
        <v>77</v>
      </c>
      <c r="F183" s="41" t="s">
        <v>48</v>
      </c>
      <c r="G183" s="48" t="str">
        <f t="shared" si="4"/>
        <v>Campeche</v>
      </c>
      <c r="H183" s="41"/>
      <c r="I183" s="41"/>
      <c r="J183" s="63"/>
      <c r="K183" s="41"/>
      <c r="L183" s="41"/>
      <c r="M183" s="41"/>
      <c r="N183" s="46" t="s">
        <v>12</v>
      </c>
      <c r="O183" s="50">
        <v>4657889.7066400032</v>
      </c>
      <c r="P183" s="41">
        <v>2022</v>
      </c>
      <c r="Q183" s="48" t="s">
        <v>53</v>
      </c>
      <c r="R183" s="41"/>
    </row>
    <row r="184" spans="1:18" x14ac:dyDescent="0.35">
      <c r="A184" s="41"/>
      <c r="B184" s="46" t="s">
        <v>23</v>
      </c>
      <c r="C184" s="57">
        <v>238211.24319999997</v>
      </c>
      <c r="D184" s="41">
        <v>2021</v>
      </c>
      <c r="E184" s="41" t="s">
        <v>77</v>
      </c>
      <c r="F184" s="41" t="s">
        <v>48</v>
      </c>
      <c r="G184" s="48" t="str">
        <f t="shared" si="4"/>
        <v>Campeche</v>
      </c>
      <c r="H184" s="41"/>
      <c r="I184" s="41"/>
      <c r="J184" s="63"/>
      <c r="K184" s="41"/>
      <c r="L184" s="41"/>
      <c r="M184" s="41"/>
      <c r="N184" s="46" t="s">
        <v>13</v>
      </c>
      <c r="O184" s="50">
        <v>2235049.0945985308</v>
      </c>
      <c r="P184" s="41">
        <v>2022</v>
      </c>
      <c r="Q184" s="48" t="s">
        <v>53</v>
      </c>
      <c r="R184" s="41"/>
    </row>
    <row r="185" spans="1:18" x14ac:dyDescent="0.35">
      <c r="A185" s="41"/>
      <c r="B185" s="46" t="s">
        <v>12</v>
      </c>
      <c r="C185" s="57">
        <v>269377.83</v>
      </c>
      <c r="D185" s="41">
        <v>2022</v>
      </c>
      <c r="E185" s="41" t="s">
        <v>77</v>
      </c>
      <c r="F185" s="41" t="s">
        <v>48</v>
      </c>
      <c r="G185" s="48" t="str">
        <f t="shared" si="4"/>
        <v>Campeche</v>
      </c>
      <c r="H185" s="41"/>
      <c r="I185" s="41"/>
      <c r="J185" s="63"/>
      <c r="K185" s="41"/>
      <c r="L185" s="41"/>
      <c r="M185" s="41"/>
      <c r="N185" s="46" t="s">
        <v>14</v>
      </c>
      <c r="O185" s="50">
        <v>404409.85730939964</v>
      </c>
      <c r="P185" s="41">
        <v>2022</v>
      </c>
      <c r="Q185" s="48" t="s">
        <v>53</v>
      </c>
      <c r="R185" s="41"/>
    </row>
    <row r="186" spans="1:18" x14ac:dyDescent="0.35">
      <c r="A186" s="41"/>
      <c r="B186" s="46" t="s">
        <v>13</v>
      </c>
      <c r="C186" s="57">
        <v>336578.59360000002</v>
      </c>
      <c r="D186" s="41">
        <v>2022</v>
      </c>
      <c r="E186" s="41" t="s">
        <v>77</v>
      </c>
      <c r="F186" s="41" t="s">
        <v>48</v>
      </c>
      <c r="G186" s="48" t="str">
        <f t="shared" si="4"/>
        <v>Campeche</v>
      </c>
      <c r="H186" s="41"/>
      <c r="I186" s="41"/>
      <c r="J186" s="63"/>
      <c r="K186" s="41"/>
      <c r="L186" s="41"/>
      <c r="M186" s="41"/>
      <c r="N186" s="46" t="s">
        <v>15</v>
      </c>
      <c r="O186" s="50">
        <v>289586.65555617004</v>
      </c>
      <c r="P186" s="41">
        <v>2022</v>
      </c>
      <c r="Q186" s="48" t="s">
        <v>53</v>
      </c>
      <c r="R186" s="41"/>
    </row>
    <row r="187" spans="1:18" x14ac:dyDescent="0.35">
      <c r="A187" s="41"/>
      <c r="B187" s="46" t="s">
        <v>14</v>
      </c>
      <c r="C187" s="57">
        <v>342118.39399999951</v>
      </c>
      <c r="D187" s="41">
        <v>2022</v>
      </c>
      <c r="E187" s="41" t="s">
        <v>77</v>
      </c>
      <c r="F187" s="41" t="s">
        <v>48</v>
      </c>
      <c r="G187" s="48" t="str">
        <f t="shared" si="4"/>
        <v>Campeche</v>
      </c>
      <c r="H187" s="41"/>
      <c r="I187" s="41"/>
      <c r="J187" s="63"/>
      <c r="K187" s="41"/>
      <c r="L187" s="41"/>
      <c r="M187" s="41"/>
      <c r="N187" s="46" t="s">
        <v>16</v>
      </c>
      <c r="O187" s="50">
        <v>-5422.3570574996993</v>
      </c>
      <c r="P187" s="41">
        <v>2022</v>
      </c>
      <c r="Q187" s="48" t="s">
        <v>53</v>
      </c>
      <c r="R187" s="41"/>
    </row>
    <row r="188" spans="1:18" x14ac:dyDescent="0.35">
      <c r="A188" s="41"/>
      <c r="B188" s="46" t="s">
        <v>15</v>
      </c>
      <c r="C188" s="57">
        <v>348534.87599999999</v>
      </c>
      <c r="D188" s="41">
        <v>2022</v>
      </c>
      <c r="E188" s="41" t="s">
        <v>77</v>
      </c>
      <c r="F188" s="41" t="s">
        <v>48</v>
      </c>
      <c r="G188" s="48" t="str">
        <f t="shared" si="4"/>
        <v>Campeche</v>
      </c>
      <c r="H188" s="41"/>
      <c r="I188" s="41"/>
      <c r="J188" s="63"/>
      <c r="K188" s="41"/>
      <c r="L188" s="41"/>
      <c r="M188" s="41"/>
      <c r="N188" s="46" t="s">
        <v>17</v>
      </c>
      <c r="O188" s="50">
        <v>0</v>
      </c>
      <c r="P188" s="41">
        <v>2022</v>
      </c>
      <c r="Q188" s="48" t="s">
        <v>53</v>
      </c>
      <c r="R188" s="41"/>
    </row>
    <row r="189" spans="1:18" x14ac:dyDescent="0.35">
      <c r="A189" s="41"/>
      <c r="B189" s="51" t="s">
        <v>16</v>
      </c>
      <c r="C189" s="58"/>
      <c r="D189" s="53">
        <v>2022</v>
      </c>
      <c r="E189" s="53" t="s">
        <v>77</v>
      </c>
      <c r="F189" s="53" t="s">
        <v>48</v>
      </c>
      <c r="G189" s="54" t="str">
        <f t="shared" si="4"/>
        <v>Campeche</v>
      </c>
      <c r="H189" s="41"/>
      <c r="I189" s="41"/>
      <c r="J189" s="63"/>
      <c r="K189" s="41"/>
      <c r="L189" s="41"/>
      <c r="M189" s="41"/>
      <c r="N189" s="46" t="s">
        <v>18</v>
      </c>
      <c r="O189" s="50">
        <v>0</v>
      </c>
      <c r="P189" s="41">
        <v>2022</v>
      </c>
      <c r="Q189" s="48" t="s">
        <v>53</v>
      </c>
      <c r="R189" s="41"/>
    </row>
    <row r="190" spans="1:18" x14ac:dyDescent="0.35">
      <c r="A190" s="41"/>
      <c r="B190" s="46" t="s">
        <v>12</v>
      </c>
      <c r="C190" s="57">
        <v>348275.94</v>
      </c>
      <c r="D190" s="41">
        <v>2021</v>
      </c>
      <c r="E190" s="41" t="s">
        <v>77</v>
      </c>
      <c r="F190" s="41" t="s">
        <v>49</v>
      </c>
      <c r="G190" s="48" t="str">
        <f t="shared" si="3"/>
        <v>Guerrero</v>
      </c>
      <c r="H190" s="41"/>
      <c r="I190" s="41"/>
      <c r="J190" s="63"/>
      <c r="K190" s="41"/>
      <c r="L190" s="41"/>
      <c r="M190" s="41"/>
      <c r="N190" s="46" t="s">
        <v>19</v>
      </c>
      <c r="O190" s="50">
        <v>0</v>
      </c>
      <c r="P190" s="41">
        <v>2022</v>
      </c>
      <c r="Q190" s="48" t="s">
        <v>53</v>
      </c>
      <c r="R190" s="41"/>
    </row>
    <row r="191" spans="1:18" x14ac:dyDescent="0.35">
      <c r="A191" s="41"/>
      <c r="B191" s="46" t="s">
        <v>13</v>
      </c>
      <c r="C191" s="57">
        <v>400136.87</v>
      </c>
      <c r="D191" s="41">
        <v>2021</v>
      </c>
      <c r="E191" s="41" t="s">
        <v>77</v>
      </c>
      <c r="F191" s="41" t="s">
        <v>49</v>
      </c>
      <c r="G191" s="48" t="str">
        <f t="shared" si="3"/>
        <v>Guerrero</v>
      </c>
      <c r="H191" s="41"/>
      <c r="I191" s="41"/>
      <c r="J191" s="63"/>
      <c r="K191" s="41"/>
      <c r="L191" s="41"/>
      <c r="M191" s="41"/>
      <c r="N191" s="46" t="s">
        <v>20</v>
      </c>
      <c r="O191" s="50">
        <v>0</v>
      </c>
      <c r="P191" s="41">
        <v>2022</v>
      </c>
      <c r="Q191" s="48" t="s">
        <v>53</v>
      </c>
      <c r="R191" s="41"/>
    </row>
    <row r="192" spans="1:18" x14ac:dyDescent="0.35">
      <c r="A192" s="41"/>
      <c r="B192" s="46" t="s">
        <v>14</v>
      </c>
      <c r="C192" s="57">
        <v>487693.77</v>
      </c>
      <c r="D192" s="41">
        <v>2021</v>
      </c>
      <c r="E192" s="41" t="s">
        <v>77</v>
      </c>
      <c r="F192" s="41" t="s">
        <v>49</v>
      </c>
      <c r="G192" s="48" t="str">
        <f t="shared" si="3"/>
        <v>Guerrero</v>
      </c>
      <c r="H192" s="41"/>
      <c r="I192" s="41"/>
      <c r="J192" s="63"/>
      <c r="K192" s="41"/>
      <c r="L192" s="41"/>
      <c r="M192" s="41"/>
      <c r="N192" s="46" t="s">
        <v>21</v>
      </c>
      <c r="O192" s="50">
        <v>0</v>
      </c>
      <c r="P192" s="41">
        <v>2022</v>
      </c>
      <c r="Q192" s="48" t="s">
        <v>53</v>
      </c>
      <c r="R192" s="41"/>
    </row>
    <row r="193" spans="1:18" x14ac:dyDescent="0.35">
      <c r="A193" s="41"/>
      <c r="B193" s="46" t="s">
        <v>15</v>
      </c>
      <c r="C193" s="57">
        <v>848044.32</v>
      </c>
      <c r="D193" s="41">
        <v>2021</v>
      </c>
      <c r="E193" s="41" t="s">
        <v>77</v>
      </c>
      <c r="F193" s="41" t="s">
        <v>49</v>
      </c>
      <c r="G193" s="48" t="str">
        <f t="shared" si="3"/>
        <v>Guerrero</v>
      </c>
      <c r="H193" s="41"/>
      <c r="I193" s="41"/>
      <c r="J193" s="63"/>
      <c r="K193" s="41"/>
      <c r="L193" s="41"/>
      <c r="M193" s="41"/>
      <c r="N193" s="46" t="s">
        <v>22</v>
      </c>
      <c r="O193" s="50">
        <v>0</v>
      </c>
      <c r="P193" s="41">
        <v>2022</v>
      </c>
      <c r="Q193" s="48" t="s">
        <v>53</v>
      </c>
      <c r="R193" s="41"/>
    </row>
    <row r="194" spans="1:18" x14ac:dyDescent="0.35">
      <c r="A194" s="41"/>
      <c r="B194" s="46" t="s">
        <v>16</v>
      </c>
      <c r="C194" s="57">
        <v>135803.92600000004</v>
      </c>
      <c r="D194" s="41">
        <v>2021</v>
      </c>
      <c r="E194" s="41" t="s">
        <v>77</v>
      </c>
      <c r="F194" s="41" t="s">
        <v>49</v>
      </c>
      <c r="G194" s="48" t="str">
        <f t="shared" si="3"/>
        <v>Guerrero</v>
      </c>
      <c r="H194" s="41"/>
      <c r="I194" s="41"/>
      <c r="J194" s="63"/>
      <c r="K194" s="41"/>
      <c r="L194" s="41"/>
      <c r="M194" s="41"/>
      <c r="N194" s="51" t="s">
        <v>23</v>
      </c>
      <c r="O194" s="55">
        <v>0</v>
      </c>
      <c r="P194" s="53">
        <v>2022</v>
      </c>
      <c r="Q194" s="54" t="s">
        <v>53</v>
      </c>
      <c r="R194" s="41"/>
    </row>
    <row r="195" spans="1:18" x14ac:dyDescent="0.35">
      <c r="A195" s="41"/>
      <c r="B195" s="46" t="s">
        <v>17</v>
      </c>
      <c r="C195" s="57">
        <v>808410.05520000006</v>
      </c>
      <c r="D195" s="41">
        <v>2021</v>
      </c>
      <c r="E195" s="41" t="s">
        <v>77</v>
      </c>
      <c r="F195" s="41" t="s">
        <v>49</v>
      </c>
      <c r="G195" s="48" t="str">
        <f t="shared" ref="G195:G258" si="5">VLOOKUP(F195,$T$3:$U$11,2,0)</f>
        <v>Guerrero</v>
      </c>
      <c r="H195" s="41"/>
      <c r="I195" s="41"/>
      <c r="J195" s="63"/>
      <c r="K195" s="41"/>
      <c r="L195" s="41"/>
      <c r="M195" s="41"/>
      <c r="N195" s="46" t="s">
        <v>12</v>
      </c>
      <c r="O195" s="50">
        <v>78045853.563937694</v>
      </c>
      <c r="P195" s="41">
        <v>2021</v>
      </c>
      <c r="Q195" s="48" t="s">
        <v>7</v>
      </c>
      <c r="R195" s="41"/>
    </row>
    <row r="196" spans="1:18" x14ac:dyDescent="0.35">
      <c r="A196" s="41"/>
      <c r="B196" s="46" t="s">
        <v>18</v>
      </c>
      <c r="C196" s="57">
        <v>438614.0148</v>
      </c>
      <c r="D196" s="41">
        <v>2021</v>
      </c>
      <c r="E196" s="41" t="s">
        <v>77</v>
      </c>
      <c r="F196" s="41" t="s">
        <v>49</v>
      </c>
      <c r="G196" s="48" t="str">
        <f t="shared" si="5"/>
        <v>Guerrero</v>
      </c>
      <c r="H196" s="41"/>
      <c r="I196" s="41"/>
      <c r="J196" s="63"/>
      <c r="K196" s="41"/>
      <c r="L196" s="41"/>
      <c r="M196" s="41"/>
      <c r="N196" s="46" t="s">
        <v>13</v>
      </c>
      <c r="O196" s="50">
        <v>30289299.171183296</v>
      </c>
      <c r="P196" s="41">
        <v>2021</v>
      </c>
      <c r="Q196" s="48" t="s">
        <v>7</v>
      </c>
      <c r="R196" s="41"/>
    </row>
    <row r="197" spans="1:18" x14ac:dyDescent="0.35">
      <c r="A197" s="41"/>
      <c r="B197" s="46" t="s">
        <v>19</v>
      </c>
      <c r="C197" s="57">
        <v>480979.50000000041</v>
      </c>
      <c r="D197" s="41">
        <v>2021</v>
      </c>
      <c r="E197" s="41" t="s">
        <v>77</v>
      </c>
      <c r="F197" s="41" t="s">
        <v>49</v>
      </c>
      <c r="G197" s="48" t="str">
        <f t="shared" si="5"/>
        <v>Guerrero</v>
      </c>
      <c r="H197" s="41"/>
      <c r="I197" s="41"/>
      <c r="J197" s="63"/>
      <c r="K197" s="41"/>
      <c r="L197" s="41"/>
      <c r="M197" s="41"/>
      <c r="N197" s="46" t="s">
        <v>14</v>
      </c>
      <c r="O197" s="50">
        <v>-25153282.198004298</v>
      </c>
      <c r="P197" s="41">
        <v>2021</v>
      </c>
      <c r="Q197" s="48" t="s">
        <v>7</v>
      </c>
      <c r="R197" s="41"/>
    </row>
    <row r="198" spans="1:18" x14ac:dyDescent="0.35">
      <c r="A198" s="41"/>
      <c r="B198" s="46" t="s">
        <v>20</v>
      </c>
      <c r="C198" s="57">
        <v>368779.19599999994</v>
      </c>
      <c r="D198" s="41">
        <v>2021</v>
      </c>
      <c r="E198" s="41" t="s">
        <v>77</v>
      </c>
      <c r="F198" s="41" t="s">
        <v>49</v>
      </c>
      <c r="G198" s="48" t="str">
        <f t="shared" si="5"/>
        <v>Guerrero</v>
      </c>
      <c r="H198" s="41"/>
      <c r="I198" s="41"/>
      <c r="J198" s="63"/>
      <c r="K198" s="41"/>
      <c r="L198" s="41"/>
      <c r="M198" s="41"/>
      <c r="N198" s="46" t="s">
        <v>15</v>
      </c>
      <c r="O198" s="50">
        <v>21784259.168862596</v>
      </c>
      <c r="P198" s="41">
        <v>2021</v>
      </c>
      <c r="Q198" s="48" t="s">
        <v>7</v>
      </c>
      <c r="R198" s="41"/>
    </row>
    <row r="199" spans="1:18" x14ac:dyDescent="0.35">
      <c r="A199" s="41"/>
      <c r="B199" s="46" t="s">
        <v>21</v>
      </c>
      <c r="C199" s="57">
        <v>436865.34</v>
      </c>
      <c r="D199" s="41">
        <v>2021</v>
      </c>
      <c r="E199" s="41" t="s">
        <v>77</v>
      </c>
      <c r="F199" s="41" t="s">
        <v>49</v>
      </c>
      <c r="G199" s="48" t="str">
        <f t="shared" si="5"/>
        <v>Guerrero</v>
      </c>
      <c r="H199" s="41"/>
      <c r="I199" s="41"/>
      <c r="J199" s="63"/>
      <c r="K199" s="41"/>
      <c r="L199" s="41"/>
      <c r="M199" s="41"/>
      <c r="N199" s="46" t="s">
        <v>16</v>
      </c>
      <c r="O199" s="50">
        <v>-9940464.3967382982</v>
      </c>
      <c r="P199" s="41">
        <v>2021</v>
      </c>
      <c r="Q199" s="48" t="s">
        <v>7</v>
      </c>
      <c r="R199" s="41"/>
    </row>
    <row r="200" spans="1:18" x14ac:dyDescent="0.35">
      <c r="A200" s="41"/>
      <c r="B200" s="46" t="s">
        <v>22</v>
      </c>
      <c r="C200" s="57">
        <v>426340.05479999969</v>
      </c>
      <c r="D200" s="41">
        <v>2021</v>
      </c>
      <c r="E200" s="41" t="s">
        <v>77</v>
      </c>
      <c r="F200" s="41" t="s">
        <v>49</v>
      </c>
      <c r="G200" s="48" t="str">
        <f t="shared" si="5"/>
        <v>Guerrero</v>
      </c>
      <c r="H200" s="41"/>
      <c r="I200" s="41"/>
      <c r="J200" s="63"/>
      <c r="K200" s="41"/>
      <c r="L200" s="41"/>
      <c r="M200" s="41"/>
      <c r="N200" s="46" t="s">
        <v>17</v>
      </c>
      <c r="O200" s="50">
        <v>8705202.7581688054</v>
      </c>
      <c r="P200" s="41">
        <v>2021</v>
      </c>
      <c r="Q200" s="48" t="s">
        <v>7</v>
      </c>
      <c r="R200" s="41"/>
    </row>
    <row r="201" spans="1:18" x14ac:dyDescent="0.35">
      <c r="A201" s="41"/>
      <c r="B201" s="46" t="s">
        <v>23</v>
      </c>
      <c r="C201" s="57">
        <v>344633.4596</v>
      </c>
      <c r="D201" s="41">
        <v>2021</v>
      </c>
      <c r="E201" s="41" t="s">
        <v>77</v>
      </c>
      <c r="F201" s="41" t="s">
        <v>49</v>
      </c>
      <c r="G201" s="48" t="str">
        <f t="shared" si="5"/>
        <v>Guerrero</v>
      </c>
      <c r="H201" s="41"/>
      <c r="I201" s="41"/>
      <c r="J201" s="63"/>
      <c r="K201" s="41"/>
      <c r="L201" s="41"/>
      <c r="M201" s="41"/>
      <c r="N201" s="46" t="s">
        <v>18</v>
      </c>
      <c r="O201" s="50">
        <v>-8263518.1794850975</v>
      </c>
      <c r="P201" s="41">
        <v>2021</v>
      </c>
      <c r="Q201" s="48" t="s">
        <v>7</v>
      </c>
      <c r="R201" s="41"/>
    </row>
    <row r="202" spans="1:18" x14ac:dyDescent="0.35">
      <c r="A202" s="41"/>
      <c r="B202" s="46" t="s">
        <v>12</v>
      </c>
      <c r="C202" s="57">
        <v>385621.47000000009</v>
      </c>
      <c r="D202" s="41">
        <v>2022</v>
      </c>
      <c r="E202" s="41" t="s">
        <v>77</v>
      </c>
      <c r="F202" s="41" t="s">
        <v>49</v>
      </c>
      <c r="G202" s="48" t="str">
        <f t="shared" si="5"/>
        <v>Guerrero</v>
      </c>
      <c r="H202" s="41"/>
      <c r="I202" s="41"/>
      <c r="J202" s="63"/>
      <c r="K202" s="41"/>
      <c r="L202" s="41"/>
      <c r="M202" s="41"/>
      <c r="N202" s="46" t="s">
        <v>19</v>
      </c>
      <c r="O202" s="50">
        <v>-8568042.5619810596</v>
      </c>
      <c r="P202" s="41">
        <v>2021</v>
      </c>
      <c r="Q202" s="48" t="s">
        <v>7</v>
      </c>
      <c r="R202" s="41"/>
    </row>
    <row r="203" spans="1:18" x14ac:dyDescent="0.35">
      <c r="A203" s="41"/>
      <c r="B203" s="46" t="s">
        <v>13</v>
      </c>
      <c r="C203" s="57">
        <v>452529.44439999992</v>
      </c>
      <c r="D203" s="41">
        <v>2022</v>
      </c>
      <c r="E203" s="41" t="s">
        <v>77</v>
      </c>
      <c r="F203" s="41" t="s">
        <v>49</v>
      </c>
      <c r="G203" s="48" t="str">
        <f t="shared" si="5"/>
        <v>Guerrero</v>
      </c>
      <c r="H203" s="41"/>
      <c r="I203" s="41"/>
      <c r="J203" s="63"/>
      <c r="K203" s="41"/>
      <c r="L203" s="41"/>
      <c r="M203" s="41"/>
      <c r="N203" s="46" t="s">
        <v>20</v>
      </c>
      <c r="O203" s="50">
        <v>-734635.55993651226</v>
      </c>
      <c r="P203" s="41">
        <v>2021</v>
      </c>
      <c r="Q203" s="48" t="s">
        <v>7</v>
      </c>
      <c r="R203" s="41"/>
    </row>
    <row r="204" spans="1:18" x14ac:dyDescent="0.35">
      <c r="A204" s="41"/>
      <c r="B204" s="46" t="s">
        <v>14</v>
      </c>
      <c r="C204" s="57">
        <v>441318.17199999827</v>
      </c>
      <c r="D204" s="41">
        <v>2022</v>
      </c>
      <c r="E204" s="41" t="s">
        <v>77</v>
      </c>
      <c r="F204" s="41" t="s">
        <v>49</v>
      </c>
      <c r="G204" s="48" t="str">
        <f t="shared" si="5"/>
        <v>Guerrero</v>
      </c>
      <c r="H204" s="41"/>
      <c r="I204" s="41"/>
      <c r="J204" s="63"/>
      <c r="K204" s="41"/>
      <c r="L204" s="41"/>
      <c r="M204" s="41"/>
      <c r="N204" s="46" t="s">
        <v>21</v>
      </c>
      <c r="O204" s="50">
        <v>49123.475112102926</v>
      </c>
      <c r="P204" s="41">
        <v>2021</v>
      </c>
      <c r="Q204" s="48" t="s">
        <v>7</v>
      </c>
      <c r="R204" s="41"/>
    </row>
    <row r="205" spans="1:18" x14ac:dyDescent="0.35">
      <c r="A205" s="41"/>
      <c r="B205" s="46" t="s">
        <v>15</v>
      </c>
      <c r="C205" s="57">
        <v>407769.06960000005</v>
      </c>
      <c r="D205" s="41">
        <v>2022</v>
      </c>
      <c r="E205" s="41" t="s">
        <v>77</v>
      </c>
      <c r="F205" s="41" t="s">
        <v>49</v>
      </c>
      <c r="G205" s="48" t="str">
        <f t="shared" si="5"/>
        <v>Guerrero</v>
      </c>
      <c r="H205" s="41"/>
      <c r="I205" s="41"/>
      <c r="J205" s="63"/>
      <c r="K205" s="41"/>
      <c r="L205" s="41"/>
      <c r="M205" s="41"/>
      <c r="N205" s="46" t="s">
        <v>22</v>
      </c>
      <c r="O205" s="50">
        <v>-6703596.5359445028</v>
      </c>
      <c r="P205" s="41">
        <v>2021</v>
      </c>
      <c r="Q205" s="48" t="s">
        <v>7</v>
      </c>
      <c r="R205" s="41"/>
    </row>
    <row r="206" spans="1:18" x14ac:dyDescent="0.35">
      <c r="A206" s="41"/>
      <c r="B206" s="51" t="s">
        <v>16</v>
      </c>
      <c r="C206" s="58"/>
      <c r="D206" s="53">
        <v>2022</v>
      </c>
      <c r="E206" s="53" t="s">
        <v>77</v>
      </c>
      <c r="F206" s="53" t="s">
        <v>49</v>
      </c>
      <c r="G206" s="54" t="str">
        <f t="shared" si="5"/>
        <v>Guerrero</v>
      </c>
      <c r="H206" s="41"/>
      <c r="I206" s="41"/>
      <c r="J206" s="63"/>
      <c r="K206" s="41"/>
      <c r="L206" s="41"/>
      <c r="M206" s="41"/>
      <c r="N206" s="51" t="s">
        <v>23</v>
      </c>
      <c r="O206" s="55">
        <v>-44853954.115855701</v>
      </c>
      <c r="P206" s="53">
        <v>2021</v>
      </c>
      <c r="Q206" s="54" t="s">
        <v>7</v>
      </c>
      <c r="R206" s="41"/>
    </row>
    <row r="207" spans="1:18" x14ac:dyDescent="0.35">
      <c r="A207" s="41"/>
      <c r="B207" s="46" t="s">
        <v>12</v>
      </c>
      <c r="C207" s="57">
        <v>525965.78</v>
      </c>
      <c r="D207" s="41">
        <v>2021</v>
      </c>
      <c r="E207" s="41" t="s">
        <v>77</v>
      </c>
      <c r="F207" s="41" t="s">
        <v>50</v>
      </c>
      <c r="G207" s="48" t="str">
        <f t="shared" si="5"/>
        <v>Yucatán</v>
      </c>
      <c r="H207" s="41"/>
      <c r="I207" s="41"/>
      <c r="J207" s="63"/>
      <c r="K207" s="41"/>
      <c r="L207" s="41"/>
      <c r="M207" s="41"/>
      <c r="N207" s="46" t="s">
        <v>12</v>
      </c>
      <c r="O207" s="50">
        <v>65014535.484653749</v>
      </c>
      <c r="P207" s="41">
        <v>2022</v>
      </c>
      <c r="Q207" s="48" t="s">
        <v>7</v>
      </c>
      <c r="R207" s="41"/>
    </row>
    <row r="208" spans="1:18" x14ac:dyDescent="0.35">
      <c r="A208" s="41"/>
      <c r="B208" s="46" t="s">
        <v>13</v>
      </c>
      <c r="C208" s="57">
        <v>589629.31999999995</v>
      </c>
      <c r="D208" s="41">
        <v>2021</v>
      </c>
      <c r="E208" s="41" t="s">
        <v>77</v>
      </c>
      <c r="F208" s="41" t="s">
        <v>50</v>
      </c>
      <c r="G208" s="48" t="str">
        <f t="shared" si="5"/>
        <v>Yucatán</v>
      </c>
      <c r="H208" s="41"/>
      <c r="I208" s="41"/>
      <c r="J208" s="63"/>
      <c r="K208" s="41"/>
      <c r="L208" s="41"/>
      <c r="M208" s="41"/>
      <c r="N208" s="46" t="s">
        <v>13</v>
      </c>
      <c r="O208" s="50">
        <v>1746570.6850652024</v>
      </c>
      <c r="P208" s="41">
        <v>2022</v>
      </c>
      <c r="Q208" s="48" t="s">
        <v>7</v>
      </c>
      <c r="R208" s="41"/>
    </row>
    <row r="209" spans="1:18" x14ac:dyDescent="0.35">
      <c r="A209" s="41"/>
      <c r="B209" s="46" t="s">
        <v>14</v>
      </c>
      <c r="C209" s="57">
        <v>695974.76</v>
      </c>
      <c r="D209" s="41">
        <v>2021</v>
      </c>
      <c r="E209" s="41" t="s">
        <v>77</v>
      </c>
      <c r="F209" s="41" t="s">
        <v>50</v>
      </c>
      <c r="G209" s="48" t="str">
        <f t="shared" si="5"/>
        <v>Yucatán</v>
      </c>
      <c r="H209" s="41"/>
      <c r="I209" s="41"/>
      <c r="J209" s="63"/>
      <c r="K209" s="41"/>
      <c r="L209" s="41"/>
      <c r="M209" s="41"/>
      <c r="N209" s="46" t="s">
        <v>14</v>
      </c>
      <c r="O209" s="50">
        <v>1931843.402690623</v>
      </c>
      <c r="P209" s="41">
        <v>2022</v>
      </c>
      <c r="Q209" s="48" t="s">
        <v>7</v>
      </c>
      <c r="R209" s="41"/>
    </row>
    <row r="210" spans="1:18" x14ac:dyDescent="0.35">
      <c r="A210" s="41"/>
      <c r="B210" s="46" t="s">
        <v>15</v>
      </c>
      <c r="C210" s="57">
        <v>1282486.1700000002</v>
      </c>
      <c r="D210" s="41">
        <v>2021</v>
      </c>
      <c r="E210" s="41" t="s">
        <v>77</v>
      </c>
      <c r="F210" s="41" t="s">
        <v>50</v>
      </c>
      <c r="G210" s="48" t="str">
        <f t="shared" si="5"/>
        <v>Yucatán</v>
      </c>
      <c r="H210" s="41"/>
      <c r="I210" s="41"/>
      <c r="J210" s="63"/>
      <c r="K210" s="41"/>
      <c r="L210" s="41"/>
      <c r="M210" s="41"/>
      <c r="N210" s="46" t="s">
        <v>15</v>
      </c>
      <c r="O210" s="50">
        <v>-9246339.4972016998</v>
      </c>
      <c r="P210" s="41">
        <v>2022</v>
      </c>
      <c r="Q210" s="48" t="s">
        <v>7</v>
      </c>
      <c r="R210" s="41"/>
    </row>
    <row r="211" spans="1:18" x14ac:dyDescent="0.35">
      <c r="A211" s="41"/>
      <c r="B211" s="46" t="s">
        <v>16</v>
      </c>
      <c r="C211" s="57">
        <v>-89141.174399999902</v>
      </c>
      <c r="D211" s="41">
        <v>2021</v>
      </c>
      <c r="E211" s="41" t="s">
        <v>77</v>
      </c>
      <c r="F211" s="41" t="s">
        <v>50</v>
      </c>
      <c r="G211" s="48" t="str">
        <f t="shared" si="5"/>
        <v>Yucatán</v>
      </c>
      <c r="H211" s="41"/>
      <c r="I211" s="41"/>
      <c r="J211" s="63"/>
      <c r="K211" s="41"/>
      <c r="L211" s="41"/>
      <c r="M211" s="41"/>
      <c r="N211" s="46" t="s">
        <v>16</v>
      </c>
      <c r="O211" s="50">
        <v>-3177343.8980286364</v>
      </c>
      <c r="P211" s="41">
        <v>2022</v>
      </c>
      <c r="Q211" s="48" t="s">
        <v>7</v>
      </c>
      <c r="R211" s="41"/>
    </row>
    <row r="212" spans="1:18" x14ac:dyDescent="0.35">
      <c r="A212" s="41"/>
      <c r="B212" s="46" t="s">
        <v>17</v>
      </c>
      <c r="C212" s="57">
        <v>1350939.8512000002</v>
      </c>
      <c r="D212" s="41">
        <v>2021</v>
      </c>
      <c r="E212" s="41" t="s">
        <v>77</v>
      </c>
      <c r="F212" s="41" t="s">
        <v>50</v>
      </c>
      <c r="G212" s="48" t="str">
        <f t="shared" si="5"/>
        <v>Yucatán</v>
      </c>
      <c r="H212" s="41"/>
      <c r="I212" s="41"/>
      <c r="J212" s="63"/>
      <c r="K212" s="41"/>
      <c r="L212" s="41"/>
      <c r="M212" s="41"/>
      <c r="N212" s="46" t="s">
        <v>17</v>
      </c>
      <c r="O212" s="50">
        <v>0</v>
      </c>
      <c r="P212" s="41">
        <v>2022</v>
      </c>
      <c r="Q212" s="48" t="s">
        <v>7</v>
      </c>
      <c r="R212" s="41"/>
    </row>
    <row r="213" spans="1:18" x14ac:dyDescent="0.35">
      <c r="A213" s="41"/>
      <c r="B213" s="46" t="s">
        <v>18</v>
      </c>
      <c r="C213" s="57">
        <v>625303.5564</v>
      </c>
      <c r="D213" s="41">
        <v>2021</v>
      </c>
      <c r="E213" s="41" t="s">
        <v>77</v>
      </c>
      <c r="F213" s="41" t="s">
        <v>50</v>
      </c>
      <c r="G213" s="48" t="str">
        <f t="shared" si="5"/>
        <v>Yucatán</v>
      </c>
      <c r="H213" s="41"/>
      <c r="I213" s="41"/>
      <c r="J213" s="63"/>
      <c r="K213" s="41"/>
      <c r="L213" s="41"/>
      <c r="M213" s="41"/>
      <c r="N213" s="46" t="s">
        <v>18</v>
      </c>
      <c r="O213" s="50">
        <v>0</v>
      </c>
      <c r="P213" s="41">
        <v>2022</v>
      </c>
      <c r="Q213" s="48" t="s">
        <v>7</v>
      </c>
      <c r="R213" s="41"/>
    </row>
    <row r="214" spans="1:18" x14ac:dyDescent="0.35">
      <c r="A214" s="41"/>
      <c r="B214" s="46" t="s">
        <v>19</v>
      </c>
      <c r="C214" s="57">
        <v>623128.63760000048</v>
      </c>
      <c r="D214" s="41">
        <v>2021</v>
      </c>
      <c r="E214" s="41" t="s">
        <v>77</v>
      </c>
      <c r="F214" s="41" t="s">
        <v>50</v>
      </c>
      <c r="G214" s="48" t="str">
        <f t="shared" si="5"/>
        <v>Yucatán</v>
      </c>
      <c r="H214" s="41"/>
      <c r="I214" s="41"/>
      <c r="J214" s="41"/>
      <c r="K214" s="41"/>
      <c r="L214" s="41"/>
      <c r="M214" s="41"/>
      <c r="N214" s="46" t="s">
        <v>19</v>
      </c>
      <c r="O214" s="50">
        <v>0</v>
      </c>
      <c r="P214" s="41">
        <v>2022</v>
      </c>
      <c r="Q214" s="48" t="s">
        <v>7</v>
      </c>
      <c r="R214" s="41"/>
    </row>
    <row r="215" spans="1:18" x14ac:dyDescent="0.35">
      <c r="A215" s="41"/>
      <c r="B215" s="46" t="s">
        <v>20</v>
      </c>
      <c r="C215" s="57">
        <v>606661.56760000018</v>
      </c>
      <c r="D215" s="41">
        <v>2021</v>
      </c>
      <c r="E215" s="41" t="s">
        <v>77</v>
      </c>
      <c r="F215" s="41" t="s">
        <v>50</v>
      </c>
      <c r="G215" s="48" t="str">
        <f t="shared" si="5"/>
        <v>Yucatán</v>
      </c>
      <c r="H215" s="41"/>
      <c r="I215" s="41"/>
      <c r="J215" s="41"/>
      <c r="K215" s="41"/>
      <c r="L215" s="41"/>
      <c r="M215" s="41"/>
      <c r="N215" s="46" t="s">
        <v>20</v>
      </c>
      <c r="O215" s="50">
        <v>0</v>
      </c>
      <c r="P215" s="41">
        <v>2022</v>
      </c>
      <c r="Q215" s="48" t="s">
        <v>7</v>
      </c>
      <c r="R215" s="41"/>
    </row>
    <row r="216" spans="1:18" x14ac:dyDescent="0.35">
      <c r="A216" s="41"/>
      <c r="B216" s="46" t="s">
        <v>21</v>
      </c>
      <c r="C216" s="57">
        <v>618847.1</v>
      </c>
      <c r="D216" s="41">
        <v>2021</v>
      </c>
      <c r="E216" s="41" t="s">
        <v>77</v>
      </c>
      <c r="F216" s="41" t="s">
        <v>50</v>
      </c>
      <c r="G216" s="48" t="str">
        <f t="shared" si="5"/>
        <v>Yucatán</v>
      </c>
      <c r="H216" s="41"/>
      <c r="I216" s="41"/>
      <c r="J216" s="41"/>
      <c r="K216" s="41"/>
      <c r="L216" s="41"/>
      <c r="M216" s="41"/>
      <c r="N216" s="46" t="s">
        <v>21</v>
      </c>
      <c r="O216" s="50">
        <v>0</v>
      </c>
      <c r="P216" s="41">
        <v>2022</v>
      </c>
      <c r="Q216" s="48" t="s">
        <v>7</v>
      </c>
      <c r="R216" s="41"/>
    </row>
    <row r="217" spans="1:18" x14ac:dyDescent="0.35">
      <c r="A217" s="41"/>
      <c r="B217" s="46" t="s">
        <v>22</v>
      </c>
      <c r="C217" s="57">
        <v>706343.42999999947</v>
      </c>
      <c r="D217" s="41">
        <v>2021</v>
      </c>
      <c r="E217" s="41" t="s">
        <v>77</v>
      </c>
      <c r="F217" s="41" t="s">
        <v>50</v>
      </c>
      <c r="G217" s="48" t="str">
        <f t="shared" si="5"/>
        <v>Yucatán</v>
      </c>
      <c r="H217" s="41"/>
      <c r="I217" s="41"/>
      <c r="J217" s="41"/>
      <c r="K217" s="41"/>
      <c r="L217" s="41"/>
      <c r="M217" s="41"/>
      <c r="N217" s="46" t="s">
        <v>22</v>
      </c>
      <c r="O217" s="50">
        <v>0</v>
      </c>
      <c r="P217" s="41">
        <v>2022</v>
      </c>
      <c r="Q217" s="48" t="s">
        <v>7</v>
      </c>
      <c r="R217" s="41"/>
    </row>
    <row r="218" spans="1:18" x14ac:dyDescent="0.35">
      <c r="A218" s="41"/>
      <c r="B218" s="46" t="s">
        <v>23</v>
      </c>
      <c r="C218" s="57">
        <v>503883.59560000006</v>
      </c>
      <c r="D218" s="41">
        <v>2021</v>
      </c>
      <c r="E218" s="41" t="s">
        <v>77</v>
      </c>
      <c r="F218" s="41" t="s">
        <v>50</v>
      </c>
      <c r="G218" s="48" t="str">
        <f t="shared" si="5"/>
        <v>Yucatán</v>
      </c>
      <c r="H218" s="41"/>
      <c r="I218" s="41"/>
      <c r="J218" s="41"/>
      <c r="K218" s="41"/>
      <c r="L218" s="41"/>
      <c r="M218" s="41"/>
      <c r="N218" s="51" t="s">
        <v>23</v>
      </c>
      <c r="O218" s="55">
        <v>0</v>
      </c>
      <c r="P218" s="53">
        <v>2022</v>
      </c>
      <c r="Q218" s="54" t="s">
        <v>7</v>
      </c>
      <c r="R218" s="41"/>
    </row>
    <row r="219" spans="1:18" x14ac:dyDescent="0.35">
      <c r="A219" s="41"/>
      <c r="B219" s="46" t="s">
        <v>12</v>
      </c>
      <c r="C219" s="57">
        <v>456483.81000000006</v>
      </c>
      <c r="D219" s="41">
        <v>2022</v>
      </c>
      <c r="E219" s="41" t="s">
        <v>77</v>
      </c>
      <c r="F219" s="41" t="s">
        <v>50</v>
      </c>
      <c r="G219" s="48" t="str">
        <f t="shared" si="5"/>
        <v>Yucatán</v>
      </c>
      <c r="H219" s="41"/>
      <c r="I219" s="41"/>
      <c r="J219" s="41"/>
      <c r="K219" s="41"/>
      <c r="L219" s="41"/>
      <c r="M219" s="41"/>
      <c r="N219" s="46" t="s">
        <v>12</v>
      </c>
      <c r="O219" s="50">
        <v>91350622.499599993</v>
      </c>
      <c r="P219" s="41">
        <v>2022</v>
      </c>
      <c r="Q219" s="48" t="s">
        <v>78</v>
      </c>
      <c r="R219" s="41"/>
    </row>
    <row r="220" spans="1:18" x14ac:dyDescent="0.35">
      <c r="A220" s="41"/>
      <c r="B220" s="46" t="s">
        <v>13</v>
      </c>
      <c r="C220" s="57">
        <v>655351.21039999987</v>
      </c>
      <c r="D220" s="41">
        <v>2022</v>
      </c>
      <c r="E220" s="41" t="s">
        <v>77</v>
      </c>
      <c r="F220" s="41" t="s">
        <v>50</v>
      </c>
      <c r="G220" s="48" t="str">
        <f t="shared" si="5"/>
        <v>Yucatán</v>
      </c>
      <c r="H220" s="41"/>
      <c r="I220" s="41"/>
      <c r="J220" s="41"/>
      <c r="K220" s="41"/>
      <c r="L220" s="41"/>
      <c r="M220" s="41"/>
      <c r="N220" s="46" t="s">
        <v>13</v>
      </c>
      <c r="O220" s="50">
        <v>-6407910.0752720013</v>
      </c>
      <c r="P220" s="41">
        <v>2022</v>
      </c>
      <c r="Q220" s="48" t="s">
        <v>78</v>
      </c>
      <c r="R220" s="41"/>
    </row>
    <row r="221" spans="1:18" x14ac:dyDescent="0.35">
      <c r="A221" s="41"/>
      <c r="B221" s="46" t="s">
        <v>14</v>
      </c>
      <c r="C221" s="57">
        <v>643269.74079999828</v>
      </c>
      <c r="D221" s="41">
        <v>2022</v>
      </c>
      <c r="E221" s="41" t="s">
        <v>77</v>
      </c>
      <c r="F221" s="41" t="s">
        <v>50</v>
      </c>
      <c r="G221" s="48" t="str">
        <f t="shared" si="5"/>
        <v>Yucatán</v>
      </c>
      <c r="H221" s="41"/>
      <c r="I221" s="41"/>
      <c r="J221" s="41"/>
      <c r="K221" s="41"/>
      <c r="L221" s="41"/>
      <c r="M221" s="41"/>
      <c r="N221" s="46" t="s">
        <v>14</v>
      </c>
      <c r="O221" s="50">
        <v>-11142512.485483244</v>
      </c>
      <c r="P221" s="41">
        <v>2022</v>
      </c>
      <c r="Q221" s="48" t="s">
        <v>78</v>
      </c>
      <c r="R221" s="41"/>
    </row>
    <row r="222" spans="1:18" x14ac:dyDescent="0.35">
      <c r="A222" s="41"/>
      <c r="B222" s="46" t="s">
        <v>15</v>
      </c>
      <c r="C222" s="57">
        <v>664881.61960000009</v>
      </c>
      <c r="D222" s="41">
        <v>2022</v>
      </c>
      <c r="E222" s="41" t="s">
        <v>77</v>
      </c>
      <c r="F222" s="41" t="s">
        <v>50</v>
      </c>
      <c r="G222" s="48" t="str">
        <f t="shared" si="5"/>
        <v>Yucatán</v>
      </c>
      <c r="H222" s="41"/>
      <c r="I222" s="41"/>
      <c r="J222" s="41"/>
      <c r="K222" s="41"/>
      <c r="L222" s="41"/>
      <c r="M222" s="41"/>
      <c r="N222" s="46" t="s">
        <v>15</v>
      </c>
      <c r="O222" s="50">
        <v>-12960539.653712012</v>
      </c>
      <c r="P222" s="41">
        <v>2022</v>
      </c>
      <c r="Q222" s="48" t="s">
        <v>78</v>
      </c>
      <c r="R222" s="41"/>
    </row>
    <row r="223" spans="1:18" ht="18" thickBot="1" x14ac:dyDescent="0.4">
      <c r="A223" s="41"/>
      <c r="B223" s="51" t="s">
        <v>16</v>
      </c>
      <c r="C223" s="58"/>
      <c r="D223" s="53">
        <v>2022</v>
      </c>
      <c r="E223" s="53" t="s">
        <v>77</v>
      </c>
      <c r="F223" s="53" t="s">
        <v>50</v>
      </c>
      <c r="G223" s="54" t="str">
        <f t="shared" si="5"/>
        <v>Yucatán</v>
      </c>
      <c r="H223" s="41"/>
      <c r="I223" s="41"/>
      <c r="J223" s="41"/>
      <c r="K223" s="41"/>
      <c r="L223" s="41"/>
      <c r="M223" s="41"/>
      <c r="N223" s="59" t="s">
        <v>16</v>
      </c>
      <c r="O223" s="61">
        <v>4661624.1100000031</v>
      </c>
      <c r="P223" s="61">
        <v>2022</v>
      </c>
      <c r="Q223" s="62" t="s">
        <v>78</v>
      </c>
      <c r="R223" s="41"/>
    </row>
    <row r="224" spans="1:18" x14ac:dyDescent="0.35">
      <c r="A224" s="41"/>
      <c r="B224" s="46" t="s">
        <v>12</v>
      </c>
      <c r="C224" s="57">
        <v>368146.33</v>
      </c>
      <c r="D224" s="41">
        <v>2021</v>
      </c>
      <c r="E224" s="41" t="s">
        <v>77</v>
      </c>
      <c r="F224" s="41" t="s">
        <v>55</v>
      </c>
      <c r="G224" s="48" t="str">
        <f t="shared" si="5"/>
        <v>Veracruz</v>
      </c>
      <c r="H224" s="41"/>
      <c r="I224" s="41"/>
      <c r="J224" s="41"/>
      <c r="K224" s="41"/>
      <c r="L224" s="41"/>
      <c r="M224" s="41"/>
      <c r="N224" s="41"/>
      <c r="O224" s="41"/>
      <c r="P224" s="41"/>
      <c r="Q224" s="41"/>
      <c r="R224" s="41"/>
    </row>
    <row r="225" spans="1:18" x14ac:dyDescent="0.35">
      <c r="A225" s="41"/>
      <c r="B225" s="46" t="s">
        <v>13</v>
      </c>
      <c r="C225" s="57">
        <v>411147.35</v>
      </c>
      <c r="D225" s="41">
        <v>2021</v>
      </c>
      <c r="E225" s="41" t="s">
        <v>77</v>
      </c>
      <c r="F225" s="41" t="s">
        <v>55</v>
      </c>
      <c r="G225" s="48" t="str">
        <f t="shared" si="5"/>
        <v>Veracruz</v>
      </c>
      <c r="H225" s="41"/>
      <c r="I225" s="41"/>
      <c r="J225" s="41"/>
      <c r="K225" s="41"/>
      <c r="L225" s="41"/>
      <c r="M225" s="41"/>
      <c r="N225" s="41"/>
      <c r="O225" s="41"/>
      <c r="P225" s="41"/>
      <c r="Q225" s="41"/>
      <c r="R225" s="41"/>
    </row>
    <row r="226" spans="1:18" x14ac:dyDescent="0.35">
      <c r="A226" s="41"/>
      <c r="B226" s="46" t="s">
        <v>14</v>
      </c>
      <c r="C226" s="57">
        <v>464100.82</v>
      </c>
      <c r="D226" s="41">
        <v>2021</v>
      </c>
      <c r="E226" s="41" t="s">
        <v>77</v>
      </c>
      <c r="F226" s="41" t="s">
        <v>55</v>
      </c>
      <c r="G226" s="48" t="str">
        <f t="shared" si="5"/>
        <v>Veracruz</v>
      </c>
      <c r="H226" s="41"/>
      <c r="I226" s="41"/>
      <c r="J226" s="41"/>
      <c r="K226" s="41"/>
      <c r="L226" s="41"/>
      <c r="M226" s="41"/>
      <c r="N226" s="41"/>
      <c r="O226" s="41"/>
      <c r="P226" s="41"/>
      <c r="Q226" s="41"/>
      <c r="R226" s="41"/>
    </row>
    <row r="227" spans="1:18" x14ac:dyDescent="0.35">
      <c r="A227" s="41"/>
      <c r="B227" s="46" t="s">
        <v>15</v>
      </c>
      <c r="C227" s="57">
        <v>863799.13</v>
      </c>
      <c r="D227" s="41">
        <v>2021</v>
      </c>
      <c r="E227" s="41" t="s">
        <v>77</v>
      </c>
      <c r="F227" s="41" t="s">
        <v>55</v>
      </c>
      <c r="G227" s="48" t="str">
        <f t="shared" si="5"/>
        <v>Veracruz</v>
      </c>
      <c r="H227" s="41"/>
      <c r="I227" s="41"/>
      <c r="J227" s="41"/>
      <c r="K227" s="41"/>
      <c r="L227" s="41"/>
      <c r="M227" s="41"/>
      <c r="N227" s="41"/>
      <c r="O227" s="41"/>
      <c r="P227" s="41"/>
      <c r="Q227" s="41"/>
      <c r="R227" s="41"/>
    </row>
    <row r="228" spans="1:18" x14ac:dyDescent="0.35">
      <c r="A228" s="41"/>
      <c r="B228" s="46" t="s">
        <v>16</v>
      </c>
      <c r="C228" s="57">
        <v>17669.734799999977</v>
      </c>
      <c r="D228" s="41">
        <v>2021</v>
      </c>
      <c r="E228" s="41" t="s">
        <v>77</v>
      </c>
      <c r="F228" s="41" t="s">
        <v>55</v>
      </c>
      <c r="G228" s="48" t="str">
        <f t="shared" si="5"/>
        <v>Veracruz</v>
      </c>
      <c r="H228" s="41"/>
      <c r="I228" s="41"/>
      <c r="J228" s="41"/>
      <c r="K228" s="41"/>
      <c r="L228" s="41"/>
      <c r="M228" s="41"/>
      <c r="N228" s="41"/>
      <c r="O228" s="41"/>
      <c r="P228" s="41"/>
      <c r="Q228" s="41"/>
      <c r="R228" s="41"/>
    </row>
    <row r="229" spans="1:18" x14ac:dyDescent="0.35">
      <c r="A229" s="41"/>
      <c r="B229" s="46" t="s">
        <v>17</v>
      </c>
      <c r="C229" s="57">
        <v>863781.32120000012</v>
      </c>
      <c r="D229" s="41">
        <v>2021</v>
      </c>
      <c r="E229" s="41" t="s">
        <v>77</v>
      </c>
      <c r="F229" s="41" t="s">
        <v>55</v>
      </c>
      <c r="G229" s="48" t="str">
        <f t="shared" si="5"/>
        <v>Veracruz</v>
      </c>
      <c r="H229" s="41"/>
      <c r="I229" s="41"/>
      <c r="J229" s="41"/>
      <c r="K229" s="41"/>
      <c r="L229" s="41"/>
      <c r="M229" s="41"/>
      <c r="N229" s="41"/>
      <c r="O229" s="41"/>
      <c r="P229" s="41"/>
      <c r="Q229" s="41"/>
      <c r="R229" s="41"/>
    </row>
    <row r="230" spans="1:18" x14ac:dyDescent="0.35">
      <c r="A230" s="41"/>
      <c r="B230" s="46" t="s">
        <v>18</v>
      </c>
      <c r="C230" s="57">
        <v>447461.20720000006</v>
      </c>
      <c r="D230" s="41">
        <v>2021</v>
      </c>
      <c r="E230" s="41" t="s">
        <v>77</v>
      </c>
      <c r="F230" s="41" t="s">
        <v>55</v>
      </c>
      <c r="G230" s="48" t="str">
        <f t="shared" si="5"/>
        <v>Veracruz</v>
      </c>
      <c r="H230" s="41"/>
      <c r="I230" s="41"/>
      <c r="J230" s="41"/>
      <c r="K230" s="41"/>
      <c r="L230" s="41"/>
      <c r="M230" s="41"/>
      <c r="N230" s="41"/>
      <c r="O230" s="41"/>
      <c r="P230" s="41"/>
      <c r="Q230" s="41"/>
      <c r="R230" s="41"/>
    </row>
    <row r="231" spans="1:18" x14ac:dyDescent="0.35">
      <c r="A231" s="41"/>
      <c r="B231" s="46" t="s">
        <v>19</v>
      </c>
      <c r="C231" s="57">
        <v>450700.5652000003</v>
      </c>
      <c r="D231" s="41">
        <v>2021</v>
      </c>
      <c r="E231" s="41" t="s">
        <v>77</v>
      </c>
      <c r="F231" s="41" t="s">
        <v>55</v>
      </c>
      <c r="G231" s="48" t="str">
        <f t="shared" si="5"/>
        <v>Veracruz</v>
      </c>
      <c r="H231" s="41"/>
      <c r="I231" s="41"/>
      <c r="J231" s="41"/>
      <c r="K231" s="41"/>
      <c r="L231" s="41"/>
      <c r="M231" s="41"/>
      <c r="N231" s="41"/>
      <c r="O231" s="41"/>
      <c r="P231" s="41"/>
      <c r="Q231" s="41"/>
      <c r="R231" s="41"/>
    </row>
    <row r="232" spans="1:18" x14ac:dyDescent="0.35">
      <c r="A232" s="41"/>
      <c r="B232" s="46" t="s">
        <v>20</v>
      </c>
      <c r="C232" s="57">
        <v>424377.0796</v>
      </c>
      <c r="D232" s="41">
        <v>2021</v>
      </c>
      <c r="E232" s="41" t="s">
        <v>77</v>
      </c>
      <c r="F232" s="41" t="s">
        <v>55</v>
      </c>
      <c r="G232" s="48" t="str">
        <f t="shared" si="5"/>
        <v>Veracruz</v>
      </c>
      <c r="H232" s="41"/>
      <c r="I232" s="41"/>
      <c r="J232" s="41"/>
      <c r="K232" s="41"/>
      <c r="L232" s="41"/>
      <c r="M232" s="41"/>
      <c r="N232" s="41"/>
      <c r="O232" s="41"/>
      <c r="P232" s="41"/>
      <c r="Q232" s="41"/>
      <c r="R232" s="41"/>
    </row>
    <row r="233" spans="1:18" x14ac:dyDescent="0.35">
      <c r="A233" s="41"/>
      <c r="B233" s="46" t="s">
        <v>21</v>
      </c>
      <c r="C233" s="57">
        <v>448495.2</v>
      </c>
      <c r="D233" s="41">
        <v>2021</v>
      </c>
      <c r="E233" s="41" t="s">
        <v>77</v>
      </c>
      <c r="F233" s="41" t="s">
        <v>55</v>
      </c>
      <c r="G233" s="48" t="str">
        <f t="shared" si="5"/>
        <v>Veracruz</v>
      </c>
      <c r="H233" s="41"/>
      <c r="I233" s="41"/>
      <c r="J233" s="41"/>
      <c r="K233" s="41"/>
      <c r="L233" s="41"/>
      <c r="M233" s="41"/>
      <c r="N233" s="41"/>
      <c r="O233" s="41"/>
      <c r="P233" s="41"/>
      <c r="Q233" s="41"/>
      <c r="R233" s="41"/>
    </row>
    <row r="234" spans="1:18" x14ac:dyDescent="0.35">
      <c r="A234" s="41"/>
      <c r="B234" s="46" t="s">
        <v>22</v>
      </c>
      <c r="C234" s="57">
        <v>405048.99719999969</v>
      </c>
      <c r="D234" s="41">
        <v>2021</v>
      </c>
      <c r="E234" s="41" t="s">
        <v>77</v>
      </c>
      <c r="F234" s="41" t="s">
        <v>55</v>
      </c>
      <c r="G234" s="48" t="str">
        <f t="shared" si="5"/>
        <v>Veracruz</v>
      </c>
      <c r="H234" s="41"/>
      <c r="I234" s="41"/>
      <c r="J234" s="41"/>
      <c r="K234" s="41"/>
      <c r="L234" s="41"/>
      <c r="M234" s="41"/>
      <c r="N234" s="41"/>
      <c r="O234" s="41"/>
      <c r="P234" s="41"/>
      <c r="Q234" s="41"/>
      <c r="R234" s="41"/>
    </row>
    <row r="235" spans="1:18" x14ac:dyDescent="0.35">
      <c r="A235" s="41"/>
      <c r="B235" s="46" t="s">
        <v>23</v>
      </c>
      <c r="C235" s="57">
        <v>367659.43639999995</v>
      </c>
      <c r="D235" s="41">
        <v>2021</v>
      </c>
      <c r="E235" s="41" t="s">
        <v>77</v>
      </c>
      <c r="F235" s="41" t="s">
        <v>55</v>
      </c>
      <c r="G235" s="48" t="str">
        <f t="shared" si="5"/>
        <v>Veracruz</v>
      </c>
      <c r="H235" s="41"/>
      <c r="I235" s="41"/>
      <c r="J235" s="41"/>
      <c r="K235" s="41"/>
      <c r="L235" s="41"/>
      <c r="M235" s="41"/>
      <c r="N235" s="41"/>
      <c r="O235" s="41"/>
      <c r="P235" s="41"/>
      <c r="Q235" s="41"/>
      <c r="R235" s="41"/>
    </row>
    <row r="236" spans="1:18" x14ac:dyDescent="0.35">
      <c r="A236" s="41"/>
      <c r="B236" s="46" t="s">
        <v>12</v>
      </c>
      <c r="C236" s="57">
        <v>418626.23000000004</v>
      </c>
      <c r="D236" s="41">
        <v>2022</v>
      </c>
      <c r="E236" s="41" t="s">
        <v>77</v>
      </c>
      <c r="F236" s="41" t="s">
        <v>55</v>
      </c>
      <c r="G236" s="48" t="str">
        <f t="shared" si="5"/>
        <v>Veracruz</v>
      </c>
      <c r="H236" s="41"/>
      <c r="I236" s="41"/>
      <c r="J236" s="41"/>
      <c r="K236" s="41"/>
      <c r="L236" s="41"/>
      <c r="M236" s="41"/>
      <c r="N236" s="41"/>
      <c r="O236" s="41"/>
      <c r="P236" s="41"/>
      <c r="Q236" s="41"/>
      <c r="R236" s="41"/>
    </row>
    <row r="237" spans="1:18" x14ac:dyDescent="0.35">
      <c r="A237" s="41"/>
      <c r="B237" s="46" t="s">
        <v>13</v>
      </c>
      <c r="C237" s="57">
        <v>448260.04119999992</v>
      </c>
      <c r="D237" s="41">
        <v>2022</v>
      </c>
      <c r="E237" s="41" t="s">
        <v>77</v>
      </c>
      <c r="F237" s="41" t="s">
        <v>55</v>
      </c>
      <c r="G237" s="48" t="str">
        <f t="shared" si="5"/>
        <v>Veracruz</v>
      </c>
      <c r="H237" s="41"/>
      <c r="I237" s="41"/>
      <c r="J237" s="41"/>
      <c r="K237" s="41"/>
      <c r="L237" s="41"/>
      <c r="M237" s="41"/>
      <c r="N237" s="41"/>
      <c r="O237" s="41"/>
      <c r="P237" s="41"/>
      <c r="Q237" s="41"/>
      <c r="R237" s="41"/>
    </row>
    <row r="238" spans="1:18" x14ac:dyDescent="0.35">
      <c r="A238" s="41"/>
      <c r="B238" s="46" t="s">
        <v>14</v>
      </c>
      <c r="C238" s="57">
        <v>478276.01559999835</v>
      </c>
      <c r="D238" s="41">
        <v>2022</v>
      </c>
      <c r="E238" s="41" t="s">
        <v>77</v>
      </c>
      <c r="F238" s="41" t="s">
        <v>55</v>
      </c>
      <c r="G238" s="48" t="str">
        <f t="shared" si="5"/>
        <v>Veracruz</v>
      </c>
      <c r="H238" s="41"/>
      <c r="I238" s="41"/>
      <c r="J238" s="41"/>
      <c r="K238" s="41"/>
      <c r="L238" s="41"/>
      <c r="M238" s="41"/>
      <c r="N238" s="41"/>
      <c r="O238" s="41"/>
      <c r="P238" s="41"/>
      <c r="Q238" s="41"/>
      <c r="R238" s="41"/>
    </row>
    <row r="239" spans="1:18" x14ac:dyDescent="0.35">
      <c r="A239" s="41"/>
      <c r="B239" s="46" t="s">
        <v>15</v>
      </c>
      <c r="C239" s="57">
        <v>455019.30320000002</v>
      </c>
      <c r="D239" s="41">
        <v>2022</v>
      </c>
      <c r="E239" s="41" t="s">
        <v>77</v>
      </c>
      <c r="F239" s="41" t="s">
        <v>55</v>
      </c>
      <c r="G239" s="48" t="str">
        <f t="shared" si="5"/>
        <v>Veracruz</v>
      </c>
      <c r="H239" s="41"/>
      <c r="I239" s="41"/>
      <c r="J239" s="41"/>
      <c r="K239" s="41"/>
      <c r="L239" s="41"/>
      <c r="M239" s="41"/>
      <c r="N239" s="41"/>
      <c r="O239" s="41"/>
      <c r="P239" s="41"/>
      <c r="Q239" s="41"/>
      <c r="R239" s="41"/>
    </row>
    <row r="240" spans="1:18" x14ac:dyDescent="0.35">
      <c r="A240" s="41"/>
      <c r="B240" s="51" t="s">
        <v>16</v>
      </c>
      <c r="C240" s="58"/>
      <c r="D240" s="53">
        <v>2022</v>
      </c>
      <c r="E240" s="53" t="s">
        <v>77</v>
      </c>
      <c r="F240" s="53" t="s">
        <v>55</v>
      </c>
      <c r="G240" s="54" t="str">
        <f t="shared" si="5"/>
        <v>Veracruz</v>
      </c>
      <c r="H240" s="41"/>
      <c r="I240" s="41"/>
      <c r="J240" s="41"/>
      <c r="K240" s="41"/>
      <c r="L240" s="41"/>
      <c r="M240" s="41"/>
      <c r="N240" s="41"/>
      <c r="O240" s="41"/>
      <c r="P240" s="41"/>
      <c r="Q240" s="41"/>
      <c r="R240" s="41"/>
    </row>
    <row r="241" spans="1:18" x14ac:dyDescent="0.35">
      <c r="A241" s="41"/>
      <c r="B241" s="46" t="s">
        <v>12</v>
      </c>
      <c r="C241" s="57">
        <v>0</v>
      </c>
      <c r="D241" s="41">
        <v>2021</v>
      </c>
      <c r="E241" s="41" t="s">
        <v>77</v>
      </c>
      <c r="F241" s="41" t="s">
        <v>51</v>
      </c>
      <c r="G241" s="48" t="str">
        <f t="shared" si="5"/>
        <v>Nuevo León</v>
      </c>
      <c r="H241" s="41"/>
      <c r="I241" s="41"/>
      <c r="J241" s="41"/>
      <c r="K241" s="41"/>
      <c r="L241" s="41"/>
      <c r="M241" s="41"/>
      <c r="N241" s="41"/>
      <c r="O241" s="41"/>
      <c r="P241" s="41"/>
      <c r="Q241" s="41"/>
      <c r="R241" s="41"/>
    </row>
    <row r="242" spans="1:18" x14ac:dyDescent="0.35">
      <c r="A242" s="41"/>
      <c r="B242" s="46" t="s">
        <v>13</v>
      </c>
      <c r="C242" s="57">
        <v>0</v>
      </c>
      <c r="D242" s="41">
        <v>2021</v>
      </c>
      <c r="E242" s="41" t="s">
        <v>77</v>
      </c>
      <c r="F242" s="41" t="s">
        <v>51</v>
      </c>
      <c r="G242" s="48" t="str">
        <f t="shared" si="5"/>
        <v>Nuevo León</v>
      </c>
      <c r="H242" s="41"/>
      <c r="I242" s="41"/>
      <c r="J242" s="41"/>
      <c r="K242" s="41"/>
      <c r="L242" s="41"/>
      <c r="M242" s="41"/>
      <c r="N242" s="41"/>
      <c r="O242" s="41"/>
      <c r="P242" s="41"/>
      <c r="Q242" s="41"/>
      <c r="R242" s="41"/>
    </row>
    <row r="243" spans="1:18" x14ac:dyDescent="0.35">
      <c r="A243" s="41"/>
      <c r="B243" s="46" t="s">
        <v>14</v>
      </c>
      <c r="C243" s="57">
        <v>0</v>
      </c>
      <c r="D243" s="41">
        <v>2021</v>
      </c>
      <c r="E243" s="41" t="s">
        <v>77</v>
      </c>
      <c r="F243" s="41" t="s">
        <v>51</v>
      </c>
      <c r="G243" s="48" t="str">
        <f t="shared" si="5"/>
        <v>Nuevo León</v>
      </c>
      <c r="H243" s="41"/>
      <c r="I243" s="41"/>
      <c r="J243" s="41"/>
      <c r="K243" s="41"/>
      <c r="L243" s="41"/>
      <c r="M243" s="41"/>
      <c r="N243" s="41"/>
      <c r="O243" s="41"/>
      <c r="P243" s="41"/>
      <c r="Q243" s="41"/>
      <c r="R243" s="41"/>
    </row>
    <row r="244" spans="1:18" x14ac:dyDescent="0.35">
      <c r="A244" s="41"/>
      <c r="B244" s="46" t="s">
        <v>15</v>
      </c>
      <c r="C244" s="57">
        <v>0</v>
      </c>
      <c r="D244" s="41">
        <v>2021</v>
      </c>
      <c r="E244" s="41" t="s">
        <v>77</v>
      </c>
      <c r="F244" s="41" t="s">
        <v>51</v>
      </c>
      <c r="G244" s="48" t="str">
        <f t="shared" si="5"/>
        <v>Nuevo León</v>
      </c>
      <c r="H244" s="41"/>
      <c r="I244" s="41"/>
      <c r="J244" s="41"/>
      <c r="K244" s="41"/>
      <c r="L244" s="41"/>
      <c r="M244" s="41"/>
      <c r="N244" s="41"/>
      <c r="O244" s="41"/>
      <c r="P244" s="41"/>
      <c r="Q244" s="41"/>
      <c r="R244" s="41"/>
    </row>
    <row r="245" spans="1:18" x14ac:dyDescent="0.35">
      <c r="A245" s="41"/>
      <c r="B245" s="46" t="s">
        <v>16</v>
      </c>
      <c r="C245" s="57">
        <v>0</v>
      </c>
      <c r="D245" s="41">
        <v>2021</v>
      </c>
      <c r="E245" s="41" t="s">
        <v>77</v>
      </c>
      <c r="F245" s="41" t="s">
        <v>51</v>
      </c>
      <c r="G245" s="48" t="str">
        <f t="shared" si="5"/>
        <v>Nuevo León</v>
      </c>
      <c r="H245" s="41"/>
      <c r="I245" s="41"/>
      <c r="J245" s="41"/>
      <c r="K245" s="41"/>
      <c r="L245" s="41"/>
      <c r="M245" s="41"/>
      <c r="N245" s="41"/>
      <c r="O245" s="41"/>
      <c r="P245" s="41"/>
      <c r="Q245" s="41"/>
      <c r="R245" s="41"/>
    </row>
    <row r="246" spans="1:18" x14ac:dyDescent="0.35">
      <c r="A246" s="41"/>
      <c r="B246" s="46" t="s">
        <v>17</v>
      </c>
      <c r="C246" s="57">
        <v>0</v>
      </c>
      <c r="D246" s="41">
        <v>2021</v>
      </c>
      <c r="E246" s="41" t="s">
        <v>77</v>
      </c>
      <c r="F246" s="41" t="s">
        <v>51</v>
      </c>
      <c r="G246" s="48" t="str">
        <f t="shared" si="5"/>
        <v>Nuevo León</v>
      </c>
      <c r="H246" s="41"/>
      <c r="I246" s="41"/>
      <c r="J246" s="41"/>
      <c r="K246" s="41"/>
      <c r="L246" s="41"/>
      <c r="M246" s="41"/>
      <c r="N246" s="41"/>
      <c r="O246" s="41"/>
      <c r="P246" s="41"/>
      <c r="Q246" s="41"/>
      <c r="R246" s="41"/>
    </row>
    <row r="247" spans="1:18" x14ac:dyDescent="0.35">
      <c r="A247" s="41"/>
      <c r="B247" s="46" t="s">
        <v>18</v>
      </c>
      <c r="C247" s="57">
        <v>0</v>
      </c>
      <c r="D247" s="41">
        <v>2021</v>
      </c>
      <c r="E247" s="41" t="s">
        <v>77</v>
      </c>
      <c r="F247" s="41" t="s">
        <v>51</v>
      </c>
      <c r="G247" s="48" t="str">
        <f t="shared" si="5"/>
        <v>Nuevo León</v>
      </c>
      <c r="H247" s="41"/>
      <c r="I247" s="41"/>
      <c r="J247" s="41"/>
      <c r="K247" s="41"/>
      <c r="L247" s="41"/>
      <c r="M247" s="41"/>
      <c r="N247" s="41"/>
      <c r="O247" s="41"/>
      <c r="P247" s="41"/>
      <c r="Q247" s="41"/>
      <c r="R247" s="41"/>
    </row>
    <row r="248" spans="1:18" x14ac:dyDescent="0.35">
      <c r="A248" s="41"/>
      <c r="B248" s="46" t="s">
        <v>19</v>
      </c>
      <c r="C248" s="57">
        <v>0</v>
      </c>
      <c r="D248" s="41">
        <v>2021</v>
      </c>
      <c r="E248" s="41" t="s">
        <v>77</v>
      </c>
      <c r="F248" s="41" t="s">
        <v>51</v>
      </c>
      <c r="G248" s="48" t="str">
        <f t="shared" si="5"/>
        <v>Nuevo León</v>
      </c>
      <c r="H248" s="41"/>
      <c r="I248" s="41"/>
      <c r="J248" s="41"/>
      <c r="K248" s="41"/>
      <c r="L248" s="41"/>
      <c r="M248" s="41"/>
      <c r="N248" s="41"/>
      <c r="O248" s="41"/>
      <c r="P248" s="41"/>
      <c r="Q248" s="41"/>
      <c r="R248" s="41"/>
    </row>
    <row r="249" spans="1:18" x14ac:dyDescent="0.35">
      <c r="A249" s="41"/>
      <c r="B249" s="46" t="s">
        <v>20</v>
      </c>
      <c r="C249" s="57">
        <v>0</v>
      </c>
      <c r="D249" s="41">
        <v>2021</v>
      </c>
      <c r="E249" s="41" t="s">
        <v>77</v>
      </c>
      <c r="F249" s="41" t="s">
        <v>51</v>
      </c>
      <c r="G249" s="48" t="str">
        <f t="shared" si="5"/>
        <v>Nuevo León</v>
      </c>
      <c r="H249" s="41"/>
      <c r="I249" s="41"/>
      <c r="J249" s="41"/>
      <c r="K249" s="41"/>
      <c r="L249" s="41"/>
      <c r="M249" s="41"/>
      <c r="N249" s="41"/>
      <c r="O249" s="41"/>
      <c r="P249" s="41"/>
      <c r="Q249" s="41"/>
      <c r="R249" s="41"/>
    </row>
    <row r="250" spans="1:18" x14ac:dyDescent="0.35">
      <c r="A250" s="41"/>
      <c r="B250" s="46" t="s">
        <v>21</v>
      </c>
      <c r="C250" s="57">
        <v>0</v>
      </c>
      <c r="D250" s="41">
        <v>2021</v>
      </c>
      <c r="E250" s="41" t="s">
        <v>77</v>
      </c>
      <c r="F250" s="41" t="s">
        <v>51</v>
      </c>
      <c r="G250" s="48" t="str">
        <f t="shared" si="5"/>
        <v>Nuevo León</v>
      </c>
      <c r="H250" s="41"/>
      <c r="I250" s="41"/>
      <c r="J250" s="41"/>
      <c r="K250" s="41"/>
      <c r="L250" s="41"/>
      <c r="M250" s="41"/>
      <c r="N250" s="41"/>
      <c r="O250" s="41"/>
      <c r="P250" s="41"/>
      <c r="Q250" s="41"/>
      <c r="R250" s="41"/>
    </row>
    <row r="251" spans="1:18" x14ac:dyDescent="0.35">
      <c r="A251" s="41"/>
      <c r="B251" s="46" t="s">
        <v>22</v>
      </c>
      <c r="C251" s="57">
        <v>0</v>
      </c>
      <c r="D251" s="41">
        <v>2021</v>
      </c>
      <c r="E251" s="41" t="s">
        <v>77</v>
      </c>
      <c r="F251" s="41" t="s">
        <v>51</v>
      </c>
      <c r="G251" s="48" t="str">
        <f t="shared" si="5"/>
        <v>Nuevo León</v>
      </c>
      <c r="H251" s="41"/>
      <c r="I251" s="41"/>
      <c r="J251" s="41"/>
      <c r="K251" s="41"/>
      <c r="L251" s="41"/>
      <c r="M251" s="41"/>
      <c r="N251" s="41"/>
      <c r="O251" s="41"/>
      <c r="P251" s="41"/>
      <c r="Q251" s="41"/>
      <c r="R251" s="41"/>
    </row>
    <row r="252" spans="1:18" x14ac:dyDescent="0.35">
      <c r="A252" s="41"/>
      <c r="B252" s="46" t="s">
        <v>23</v>
      </c>
      <c r="C252" s="57">
        <v>0</v>
      </c>
      <c r="D252" s="41">
        <v>2021</v>
      </c>
      <c r="E252" s="41" t="s">
        <v>77</v>
      </c>
      <c r="F252" s="41" t="s">
        <v>51</v>
      </c>
      <c r="G252" s="48" t="str">
        <f t="shared" si="5"/>
        <v>Nuevo León</v>
      </c>
      <c r="H252" s="41"/>
      <c r="I252" s="41"/>
      <c r="J252" s="41"/>
      <c r="K252" s="41"/>
      <c r="L252" s="41"/>
      <c r="M252" s="41"/>
      <c r="N252" s="41"/>
      <c r="O252" s="41"/>
      <c r="P252" s="41"/>
      <c r="Q252" s="41"/>
      <c r="R252" s="41"/>
    </row>
    <row r="253" spans="1:18" x14ac:dyDescent="0.35">
      <c r="A253" s="41"/>
      <c r="B253" s="46" t="s">
        <v>12</v>
      </c>
      <c r="C253" s="57">
        <v>0</v>
      </c>
      <c r="D253" s="41">
        <v>2022</v>
      </c>
      <c r="E253" s="41" t="s">
        <v>77</v>
      </c>
      <c r="F253" s="41" t="s">
        <v>51</v>
      </c>
      <c r="G253" s="48" t="str">
        <f t="shared" si="5"/>
        <v>Nuevo León</v>
      </c>
      <c r="H253" s="41"/>
      <c r="I253" s="41"/>
      <c r="J253" s="41"/>
      <c r="K253" s="41"/>
      <c r="L253" s="41"/>
      <c r="M253" s="41"/>
      <c r="N253" s="41"/>
      <c r="O253" s="41"/>
      <c r="P253" s="41"/>
      <c r="Q253" s="41"/>
      <c r="R253" s="41"/>
    </row>
    <row r="254" spans="1:18" x14ac:dyDescent="0.35">
      <c r="A254" s="41"/>
      <c r="B254" s="46" t="s">
        <v>13</v>
      </c>
      <c r="C254" s="57">
        <v>0</v>
      </c>
      <c r="D254" s="41">
        <v>2022</v>
      </c>
      <c r="E254" s="41" t="s">
        <v>77</v>
      </c>
      <c r="F254" s="41" t="s">
        <v>51</v>
      </c>
      <c r="G254" s="48" t="str">
        <f t="shared" si="5"/>
        <v>Nuevo León</v>
      </c>
      <c r="H254" s="41"/>
      <c r="I254" s="41"/>
      <c r="J254" s="41"/>
      <c r="K254" s="41"/>
      <c r="L254" s="41"/>
      <c r="M254" s="41"/>
      <c r="N254" s="41"/>
      <c r="O254" s="41"/>
      <c r="P254" s="41"/>
      <c r="Q254" s="41"/>
      <c r="R254" s="41"/>
    </row>
    <row r="255" spans="1:18" x14ac:dyDescent="0.35">
      <c r="A255" s="41"/>
      <c r="B255" s="46" t="s">
        <v>14</v>
      </c>
      <c r="C255" s="57">
        <v>0</v>
      </c>
      <c r="D255" s="41">
        <v>2022</v>
      </c>
      <c r="E255" s="41" t="s">
        <v>77</v>
      </c>
      <c r="F255" s="41" t="s">
        <v>51</v>
      </c>
      <c r="G255" s="48" t="str">
        <f t="shared" si="5"/>
        <v>Nuevo León</v>
      </c>
      <c r="H255" s="41"/>
      <c r="I255" s="41"/>
      <c r="J255" s="41"/>
      <c r="K255" s="41"/>
      <c r="L255" s="41"/>
      <c r="M255" s="41"/>
      <c r="N255" s="41"/>
      <c r="O255" s="41"/>
      <c r="P255" s="41"/>
      <c r="Q255" s="41"/>
      <c r="R255" s="41"/>
    </row>
    <row r="256" spans="1:18" x14ac:dyDescent="0.35">
      <c r="A256" s="41"/>
      <c r="B256" s="46" t="s">
        <v>15</v>
      </c>
      <c r="C256" s="57">
        <v>0</v>
      </c>
      <c r="D256" s="41">
        <v>2022</v>
      </c>
      <c r="E256" s="41" t="s">
        <v>77</v>
      </c>
      <c r="F256" s="41" t="s">
        <v>51</v>
      </c>
      <c r="G256" s="48" t="str">
        <f t="shared" si="5"/>
        <v>Nuevo León</v>
      </c>
      <c r="H256" s="41"/>
      <c r="I256" s="41"/>
      <c r="J256" s="41"/>
      <c r="K256" s="41"/>
      <c r="L256" s="41"/>
      <c r="M256" s="41"/>
      <c r="N256" s="41"/>
      <c r="O256" s="41"/>
      <c r="P256" s="41"/>
      <c r="Q256" s="41"/>
      <c r="R256" s="41"/>
    </row>
    <row r="257" spans="1:18" x14ac:dyDescent="0.35">
      <c r="A257" s="41"/>
      <c r="B257" s="51" t="s">
        <v>16</v>
      </c>
      <c r="C257" s="58"/>
      <c r="D257" s="53">
        <v>2022</v>
      </c>
      <c r="E257" s="53" t="s">
        <v>77</v>
      </c>
      <c r="F257" s="53" t="s">
        <v>51</v>
      </c>
      <c r="G257" s="54" t="str">
        <f t="shared" si="5"/>
        <v>Nuevo León</v>
      </c>
      <c r="H257" s="41"/>
      <c r="I257" s="41"/>
      <c r="J257" s="41"/>
      <c r="K257" s="41"/>
      <c r="L257" s="41"/>
      <c r="M257" s="41"/>
      <c r="N257" s="41"/>
      <c r="O257" s="41"/>
      <c r="P257" s="41"/>
      <c r="Q257" s="41"/>
      <c r="R257" s="41"/>
    </row>
    <row r="258" spans="1:18" x14ac:dyDescent="0.35">
      <c r="A258" s="41"/>
      <c r="B258" s="46" t="s">
        <v>12</v>
      </c>
      <c r="C258" s="57">
        <v>969643.3</v>
      </c>
      <c r="D258" s="41">
        <v>2021</v>
      </c>
      <c r="E258" s="41" t="s">
        <v>77</v>
      </c>
      <c r="F258" s="41" t="s">
        <v>52</v>
      </c>
      <c r="G258" s="48" t="str">
        <f t="shared" si="5"/>
        <v>Quintana Roo</v>
      </c>
      <c r="H258" s="41"/>
      <c r="I258" s="41"/>
      <c r="J258" s="41"/>
      <c r="K258" s="41"/>
      <c r="L258" s="41"/>
      <c r="M258" s="41"/>
      <c r="N258" s="41"/>
      <c r="O258" s="41"/>
      <c r="P258" s="41"/>
      <c r="Q258" s="41"/>
      <c r="R258" s="41"/>
    </row>
    <row r="259" spans="1:18" x14ac:dyDescent="0.35">
      <c r="A259" s="41"/>
      <c r="B259" s="46" t="s">
        <v>13</v>
      </c>
      <c r="C259" s="57">
        <v>1160857.3500000001</v>
      </c>
      <c r="D259" s="41">
        <v>2021</v>
      </c>
      <c r="E259" s="41" t="s">
        <v>77</v>
      </c>
      <c r="F259" s="41" t="s">
        <v>52</v>
      </c>
      <c r="G259" s="48" t="str">
        <f t="shared" ref="G259:G322" si="6">VLOOKUP(F259,$T$3:$U$11,2,0)</f>
        <v>Quintana Roo</v>
      </c>
      <c r="H259" s="41"/>
      <c r="I259" s="41"/>
      <c r="J259" s="41"/>
      <c r="K259" s="41"/>
      <c r="L259" s="41"/>
      <c r="M259" s="41"/>
      <c r="N259" s="41"/>
      <c r="O259" s="41"/>
      <c r="P259" s="41"/>
      <c r="Q259" s="41"/>
      <c r="R259" s="41"/>
    </row>
    <row r="260" spans="1:18" x14ac:dyDescent="0.35">
      <c r="A260" s="41"/>
      <c r="B260" s="46" t="s">
        <v>14</v>
      </c>
      <c r="C260" s="57">
        <v>1321910.72</v>
      </c>
      <c r="D260" s="41">
        <v>2021</v>
      </c>
      <c r="E260" s="41" t="s">
        <v>77</v>
      </c>
      <c r="F260" s="41" t="s">
        <v>52</v>
      </c>
      <c r="G260" s="48" t="str">
        <f t="shared" si="6"/>
        <v>Quintana Roo</v>
      </c>
      <c r="H260" s="41"/>
      <c r="I260" s="41"/>
      <c r="J260" s="41"/>
      <c r="K260" s="41"/>
      <c r="L260" s="41"/>
      <c r="M260" s="41"/>
      <c r="N260" s="41"/>
      <c r="O260" s="41"/>
      <c r="P260" s="41"/>
      <c r="Q260" s="41"/>
      <c r="R260" s="41"/>
    </row>
    <row r="261" spans="1:18" x14ac:dyDescent="0.35">
      <c r="A261" s="41"/>
      <c r="B261" s="46" t="s">
        <v>15</v>
      </c>
      <c r="C261" s="57">
        <v>2523233.42</v>
      </c>
      <c r="D261" s="41">
        <v>2021</v>
      </c>
      <c r="E261" s="41" t="s">
        <v>77</v>
      </c>
      <c r="F261" s="41" t="s">
        <v>52</v>
      </c>
      <c r="G261" s="48" t="str">
        <f t="shared" si="6"/>
        <v>Quintana Roo</v>
      </c>
      <c r="H261" s="41"/>
      <c r="I261" s="41"/>
      <c r="J261" s="41"/>
      <c r="K261" s="41"/>
      <c r="L261" s="41"/>
      <c r="M261" s="41"/>
      <c r="N261" s="41"/>
      <c r="O261" s="41"/>
      <c r="P261" s="41"/>
      <c r="Q261" s="41"/>
      <c r="R261" s="41"/>
    </row>
    <row r="262" spans="1:18" x14ac:dyDescent="0.35">
      <c r="A262" s="41"/>
      <c r="B262" s="46" t="s">
        <v>16</v>
      </c>
      <c r="C262" s="57">
        <v>6223.3999999999069</v>
      </c>
      <c r="D262" s="41">
        <v>2021</v>
      </c>
      <c r="E262" s="41" t="s">
        <v>77</v>
      </c>
      <c r="F262" s="41" t="s">
        <v>52</v>
      </c>
      <c r="G262" s="48" t="str">
        <f t="shared" si="6"/>
        <v>Quintana Roo</v>
      </c>
      <c r="H262" s="41"/>
      <c r="I262" s="41"/>
      <c r="J262" s="41"/>
      <c r="K262" s="41"/>
      <c r="L262" s="41"/>
      <c r="M262" s="41"/>
      <c r="N262" s="41"/>
      <c r="O262" s="41"/>
      <c r="P262" s="41"/>
      <c r="Q262" s="41"/>
      <c r="R262" s="41"/>
    </row>
    <row r="263" spans="1:18" x14ac:dyDescent="0.35">
      <c r="A263" s="41"/>
      <c r="B263" s="46" t="s">
        <v>17</v>
      </c>
      <c r="C263" s="57">
        <v>2459025.1995999999</v>
      </c>
      <c r="D263" s="41">
        <v>2021</v>
      </c>
      <c r="E263" s="41" t="s">
        <v>77</v>
      </c>
      <c r="F263" s="41" t="s">
        <v>52</v>
      </c>
      <c r="G263" s="48" t="str">
        <f t="shared" si="6"/>
        <v>Quintana Roo</v>
      </c>
      <c r="H263" s="41"/>
      <c r="I263" s="41"/>
      <c r="J263" s="41"/>
      <c r="K263" s="41"/>
      <c r="L263" s="41"/>
      <c r="M263" s="41"/>
      <c r="N263" s="41"/>
      <c r="O263" s="41"/>
      <c r="P263" s="41"/>
      <c r="Q263" s="41"/>
      <c r="R263" s="41"/>
    </row>
    <row r="264" spans="1:18" x14ac:dyDescent="0.35">
      <c r="A264" s="41"/>
      <c r="B264" s="46" t="s">
        <v>18</v>
      </c>
      <c r="C264" s="57">
        <v>1628252.5715999994</v>
      </c>
      <c r="D264" s="41">
        <v>2021</v>
      </c>
      <c r="E264" s="41" t="s">
        <v>77</v>
      </c>
      <c r="F264" s="41" t="s">
        <v>52</v>
      </c>
      <c r="G264" s="48" t="str">
        <f t="shared" si="6"/>
        <v>Quintana Roo</v>
      </c>
      <c r="H264" s="41"/>
      <c r="I264" s="41"/>
      <c r="J264" s="41"/>
      <c r="K264" s="41"/>
      <c r="L264" s="41"/>
      <c r="M264" s="41"/>
      <c r="N264" s="41"/>
      <c r="O264" s="41"/>
      <c r="P264" s="41"/>
      <c r="Q264" s="41"/>
      <c r="R264" s="41"/>
    </row>
    <row r="265" spans="1:18" x14ac:dyDescent="0.35">
      <c r="A265" s="41"/>
      <c r="B265" s="46" t="s">
        <v>19</v>
      </c>
      <c r="C265" s="57">
        <v>1367360.8575999995</v>
      </c>
      <c r="D265" s="41">
        <v>2021</v>
      </c>
      <c r="E265" s="41" t="s">
        <v>77</v>
      </c>
      <c r="F265" s="41" t="s">
        <v>52</v>
      </c>
      <c r="G265" s="48" t="str">
        <f t="shared" si="6"/>
        <v>Quintana Roo</v>
      </c>
      <c r="H265" s="41"/>
      <c r="I265" s="41"/>
      <c r="J265" s="41"/>
      <c r="K265" s="41"/>
      <c r="L265" s="41"/>
      <c r="M265" s="41"/>
      <c r="N265" s="41"/>
      <c r="O265" s="41"/>
      <c r="P265" s="41"/>
      <c r="Q265" s="41"/>
      <c r="R265" s="41"/>
    </row>
    <row r="266" spans="1:18" x14ac:dyDescent="0.35">
      <c r="A266" s="41"/>
      <c r="B266" s="46" t="s">
        <v>20</v>
      </c>
      <c r="C266" s="57">
        <v>1265533.3779999991</v>
      </c>
      <c r="D266" s="41">
        <v>2021</v>
      </c>
      <c r="E266" s="41" t="s">
        <v>77</v>
      </c>
      <c r="F266" s="41" t="s">
        <v>52</v>
      </c>
      <c r="G266" s="48" t="str">
        <f t="shared" si="6"/>
        <v>Quintana Roo</v>
      </c>
      <c r="H266" s="41"/>
      <c r="I266" s="41"/>
      <c r="J266" s="41"/>
      <c r="K266" s="41"/>
      <c r="L266" s="41"/>
      <c r="M266" s="41"/>
      <c r="N266" s="41"/>
      <c r="O266" s="41"/>
      <c r="P266" s="41"/>
      <c r="Q266" s="41"/>
      <c r="R266" s="41"/>
    </row>
    <row r="267" spans="1:18" x14ac:dyDescent="0.35">
      <c r="A267" s="41"/>
      <c r="B267" s="46" t="s">
        <v>21</v>
      </c>
      <c r="C267" s="57">
        <v>1310826.8999999999</v>
      </c>
      <c r="D267" s="41">
        <v>2021</v>
      </c>
      <c r="E267" s="41" t="s">
        <v>77</v>
      </c>
      <c r="F267" s="41" t="s">
        <v>52</v>
      </c>
      <c r="G267" s="48" t="str">
        <f t="shared" si="6"/>
        <v>Quintana Roo</v>
      </c>
      <c r="H267" s="41"/>
      <c r="I267" s="41"/>
      <c r="J267" s="41"/>
      <c r="K267" s="41"/>
      <c r="L267" s="41"/>
      <c r="M267" s="41"/>
      <c r="N267" s="41"/>
      <c r="O267" s="41"/>
      <c r="P267" s="41"/>
      <c r="Q267" s="41"/>
      <c r="R267" s="41"/>
    </row>
    <row r="268" spans="1:18" x14ac:dyDescent="0.35">
      <c r="A268" s="41"/>
      <c r="B268" s="46" t="s">
        <v>22</v>
      </c>
      <c r="C268" s="57">
        <v>2398265.9888000004</v>
      </c>
      <c r="D268" s="41">
        <v>2021</v>
      </c>
      <c r="E268" s="41" t="s">
        <v>77</v>
      </c>
      <c r="F268" s="41" t="s">
        <v>52</v>
      </c>
      <c r="G268" s="48" t="str">
        <f t="shared" si="6"/>
        <v>Quintana Roo</v>
      </c>
      <c r="H268" s="41"/>
      <c r="I268" s="41"/>
      <c r="J268" s="41"/>
      <c r="K268" s="41"/>
      <c r="L268" s="41"/>
      <c r="M268" s="41"/>
      <c r="N268" s="41"/>
      <c r="O268" s="41"/>
      <c r="P268" s="41"/>
      <c r="Q268" s="41"/>
      <c r="R268" s="41"/>
    </row>
    <row r="269" spans="1:18" x14ac:dyDescent="0.35">
      <c r="A269" s="41"/>
      <c r="B269" s="46" t="s">
        <v>23</v>
      </c>
      <c r="C269" s="57">
        <v>1166177.0811999999</v>
      </c>
      <c r="D269" s="41">
        <v>2021</v>
      </c>
      <c r="E269" s="41" t="s">
        <v>77</v>
      </c>
      <c r="F269" s="41" t="s">
        <v>52</v>
      </c>
      <c r="G269" s="48" t="str">
        <f t="shared" si="6"/>
        <v>Quintana Roo</v>
      </c>
      <c r="H269" s="41"/>
      <c r="I269" s="41"/>
      <c r="J269" s="41"/>
      <c r="K269" s="41"/>
      <c r="L269" s="41"/>
      <c r="M269" s="41"/>
      <c r="N269" s="41"/>
      <c r="O269" s="41"/>
      <c r="P269" s="41"/>
      <c r="Q269" s="41"/>
      <c r="R269" s="41"/>
    </row>
    <row r="270" spans="1:18" x14ac:dyDescent="0.35">
      <c r="A270" s="41"/>
      <c r="B270" s="46" t="s">
        <v>12</v>
      </c>
      <c r="C270" s="57">
        <v>1101980.4900000002</v>
      </c>
      <c r="D270" s="41">
        <v>2022</v>
      </c>
      <c r="E270" s="41" t="s">
        <v>77</v>
      </c>
      <c r="F270" s="41" t="s">
        <v>52</v>
      </c>
      <c r="G270" s="48" t="str">
        <f t="shared" si="6"/>
        <v>Quintana Roo</v>
      </c>
      <c r="H270" s="41"/>
      <c r="I270" s="41"/>
      <c r="J270" s="41"/>
      <c r="K270" s="41"/>
      <c r="L270" s="41"/>
      <c r="M270" s="41"/>
      <c r="N270" s="41"/>
      <c r="O270" s="41"/>
      <c r="P270" s="41"/>
      <c r="Q270" s="41"/>
      <c r="R270" s="41"/>
    </row>
    <row r="271" spans="1:18" x14ac:dyDescent="0.35">
      <c r="A271" s="41"/>
      <c r="B271" s="46" t="s">
        <v>13</v>
      </c>
      <c r="C271" s="57">
        <v>1490255.3983999998</v>
      </c>
      <c r="D271" s="41">
        <v>2022</v>
      </c>
      <c r="E271" s="41" t="s">
        <v>77</v>
      </c>
      <c r="F271" s="41" t="s">
        <v>52</v>
      </c>
      <c r="G271" s="48" t="str">
        <f t="shared" si="6"/>
        <v>Quintana Roo</v>
      </c>
      <c r="H271" s="41"/>
      <c r="I271" s="41"/>
      <c r="J271" s="41"/>
      <c r="K271" s="41"/>
      <c r="L271" s="41"/>
      <c r="M271" s="41"/>
      <c r="N271" s="41"/>
      <c r="O271" s="41"/>
      <c r="P271" s="41"/>
      <c r="Q271" s="41"/>
      <c r="R271" s="41"/>
    </row>
    <row r="272" spans="1:18" x14ac:dyDescent="0.35">
      <c r="A272" s="41"/>
      <c r="B272" s="46" t="s">
        <v>14</v>
      </c>
      <c r="C272" s="57">
        <v>1600163.6243999931</v>
      </c>
      <c r="D272" s="41">
        <v>2022</v>
      </c>
      <c r="E272" s="41" t="s">
        <v>77</v>
      </c>
      <c r="F272" s="41" t="s">
        <v>52</v>
      </c>
      <c r="G272" s="48" t="str">
        <f t="shared" si="6"/>
        <v>Quintana Roo</v>
      </c>
      <c r="H272" s="41"/>
      <c r="I272" s="41"/>
      <c r="J272" s="41"/>
      <c r="K272" s="41"/>
      <c r="L272" s="41"/>
      <c r="M272" s="41"/>
      <c r="N272" s="41"/>
      <c r="O272" s="41"/>
      <c r="P272" s="41"/>
      <c r="Q272" s="41"/>
      <c r="R272" s="41"/>
    </row>
    <row r="273" spans="1:18" x14ac:dyDescent="0.35">
      <c r="A273" s="41"/>
      <c r="B273" s="46" t="s">
        <v>15</v>
      </c>
      <c r="C273" s="57">
        <v>1671891.3887999998</v>
      </c>
      <c r="D273" s="41">
        <v>2022</v>
      </c>
      <c r="E273" s="41" t="s">
        <v>77</v>
      </c>
      <c r="F273" s="41" t="s">
        <v>52</v>
      </c>
      <c r="G273" s="48" t="str">
        <f t="shared" si="6"/>
        <v>Quintana Roo</v>
      </c>
      <c r="H273" s="41"/>
      <c r="I273" s="41"/>
      <c r="J273" s="41"/>
      <c r="K273" s="41"/>
      <c r="L273" s="41"/>
      <c r="M273" s="41"/>
      <c r="N273" s="41"/>
      <c r="O273" s="41"/>
      <c r="P273" s="41"/>
      <c r="Q273" s="41"/>
      <c r="R273" s="41"/>
    </row>
    <row r="274" spans="1:18" x14ac:dyDescent="0.35">
      <c r="A274" s="41"/>
      <c r="B274" s="51" t="s">
        <v>16</v>
      </c>
      <c r="C274" s="58"/>
      <c r="D274" s="53">
        <v>2022</v>
      </c>
      <c r="E274" s="53" t="s">
        <v>77</v>
      </c>
      <c r="F274" s="53" t="s">
        <v>52</v>
      </c>
      <c r="G274" s="54" t="str">
        <f t="shared" si="6"/>
        <v>Quintana Roo</v>
      </c>
      <c r="H274" s="41"/>
      <c r="I274" s="41"/>
      <c r="J274" s="41"/>
      <c r="K274" s="41"/>
      <c r="L274" s="41"/>
      <c r="M274" s="41"/>
      <c r="N274" s="41"/>
      <c r="O274" s="41"/>
      <c r="P274" s="41"/>
      <c r="Q274" s="41"/>
      <c r="R274" s="41"/>
    </row>
    <row r="275" spans="1:18" x14ac:dyDescent="0.35">
      <c r="A275" s="41"/>
      <c r="B275" s="46" t="s">
        <v>12</v>
      </c>
      <c r="C275" s="57">
        <v>8011715.8991999999</v>
      </c>
      <c r="D275" s="41">
        <v>2021</v>
      </c>
      <c r="E275" s="41" t="s">
        <v>77</v>
      </c>
      <c r="F275" s="41" t="s">
        <v>7</v>
      </c>
      <c r="G275" s="48" t="str">
        <f t="shared" si="6"/>
        <v>CDMX</v>
      </c>
      <c r="H275" s="41"/>
      <c r="I275" s="41"/>
      <c r="J275" s="41"/>
      <c r="K275" s="41"/>
      <c r="L275" s="41"/>
      <c r="M275" s="41"/>
      <c r="N275" s="41"/>
      <c r="O275" s="41"/>
      <c r="P275" s="41"/>
      <c r="Q275" s="41"/>
      <c r="R275" s="41"/>
    </row>
    <row r="276" spans="1:18" x14ac:dyDescent="0.35">
      <c r="A276" s="41"/>
      <c r="B276" s="46" t="s">
        <v>13</v>
      </c>
      <c r="C276" s="57">
        <v>5927290.4899999993</v>
      </c>
      <c r="D276" s="41">
        <v>2021</v>
      </c>
      <c r="E276" s="41" t="s">
        <v>77</v>
      </c>
      <c r="F276" s="41" t="s">
        <v>7</v>
      </c>
      <c r="G276" s="48" t="str">
        <f t="shared" si="6"/>
        <v>CDMX</v>
      </c>
      <c r="H276" s="41"/>
      <c r="I276" s="41"/>
      <c r="J276" s="41"/>
      <c r="K276" s="41"/>
      <c r="L276" s="41"/>
      <c r="M276" s="41"/>
      <c r="N276" s="41"/>
      <c r="O276" s="41"/>
      <c r="P276" s="41"/>
      <c r="Q276" s="41"/>
      <c r="R276" s="41"/>
    </row>
    <row r="277" spans="1:18" x14ac:dyDescent="0.35">
      <c r="A277" s="41"/>
      <c r="B277" s="46" t="s">
        <v>14</v>
      </c>
      <c r="C277" s="57">
        <v>2700437.77</v>
      </c>
      <c r="D277" s="41">
        <v>2021</v>
      </c>
      <c r="E277" s="41" t="s">
        <v>77</v>
      </c>
      <c r="F277" s="41" t="s">
        <v>7</v>
      </c>
      <c r="G277" s="48" t="str">
        <f t="shared" si="6"/>
        <v>CDMX</v>
      </c>
      <c r="H277" s="41"/>
      <c r="I277" s="41"/>
      <c r="J277" s="41"/>
      <c r="K277" s="41"/>
      <c r="L277" s="41"/>
      <c r="M277" s="41"/>
      <c r="N277" s="41"/>
      <c r="O277" s="41"/>
      <c r="P277" s="41"/>
      <c r="Q277" s="41"/>
      <c r="R277" s="41"/>
    </row>
    <row r="278" spans="1:18" x14ac:dyDescent="0.35">
      <c r="A278" s="41"/>
      <c r="B278" s="46" t="s">
        <v>15</v>
      </c>
      <c r="C278" s="57">
        <v>5130770.9899999993</v>
      </c>
      <c r="D278" s="41">
        <v>2021</v>
      </c>
      <c r="E278" s="41" t="s">
        <v>77</v>
      </c>
      <c r="F278" s="41" t="s">
        <v>7</v>
      </c>
      <c r="G278" s="48" t="str">
        <f t="shared" si="6"/>
        <v>CDMX</v>
      </c>
      <c r="H278" s="41"/>
      <c r="I278" s="41"/>
      <c r="J278" s="41"/>
      <c r="K278" s="41"/>
      <c r="L278" s="41"/>
      <c r="M278" s="41"/>
      <c r="N278" s="41"/>
      <c r="O278" s="41"/>
      <c r="P278" s="41"/>
      <c r="Q278" s="41"/>
      <c r="R278" s="41"/>
    </row>
    <row r="279" spans="1:18" x14ac:dyDescent="0.35">
      <c r="A279" s="41"/>
      <c r="B279" s="46" t="s">
        <v>16</v>
      </c>
      <c r="C279" s="57">
        <v>100764.11920000068</v>
      </c>
      <c r="D279" s="41">
        <v>2021</v>
      </c>
      <c r="E279" s="41" t="s">
        <v>77</v>
      </c>
      <c r="F279" s="41" t="s">
        <v>7</v>
      </c>
      <c r="G279" s="48" t="str">
        <f t="shared" si="6"/>
        <v>CDMX</v>
      </c>
      <c r="H279" s="41"/>
      <c r="I279" s="41"/>
      <c r="J279" s="41"/>
      <c r="K279" s="41"/>
      <c r="L279" s="41"/>
      <c r="M279" s="41"/>
      <c r="N279" s="41"/>
      <c r="O279" s="41"/>
      <c r="P279" s="41"/>
      <c r="Q279" s="41"/>
      <c r="R279" s="41"/>
    </row>
    <row r="280" spans="1:18" x14ac:dyDescent="0.35">
      <c r="A280" s="41"/>
      <c r="B280" s="46" t="s">
        <v>17</v>
      </c>
      <c r="C280" s="57">
        <v>4675857.7576000001</v>
      </c>
      <c r="D280" s="41">
        <v>2021</v>
      </c>
      <c r="E280" s="41" t="s">
        <v>77</v>
      </c>
      <c r="F280" s="41" t="s">
        <v>7</v>
      </c>
      <c r="G280" s="48" t="str">
        <f t="shared" si="6"/>
        <v>CDMX</v>
      </c>
      <c r="H280" s="41"/>
      <c r="I280" s="41"/>
      <c r="J280" s="41"/>
      <c r="K280" s="41"/>
      <c r="L280" s="41"/>
      <c r="M280" s="41"/>
      <c r="N280" s="41"/>
      <c r="O280" s="41"/>
      <c r="P280" s="41"/>
      <c r="Q280" s="41"/>
      <c r="R280" s="41"/>
    </row>
    <row r="281" spans="1:18" x14ac:dyDescent="0.35">
      <c r="A281" s="41"/>
      <c r="B281" s="46" t="s">
        <v>18</v>
      </c>
      <c r="C281" s="57">
        <v>2763096.3011999978</v>
      </c>
      <c r="D281" s="41">
        <v>2021</v>
      </c>
      <c r="E281" s="41" t="s">
        <v>77</v>
      </c>
      <c r="F281" s="41" t="s">
        <v>7</v>
      </c>
      <c r="G281" s="48" t="str">
        <f t="shared" si="6"/>
        <v>CDMX</v>
      </c>
      <c r="H281" s="41"/>
      <c r="I281" s="41"/>
      <c r="J281" s="41"/>
      <c r="K281" s="41"/>
      <c r="L281" s="41"/>
      <c r="M281" s="41"/>
      <c r="N281" s="41"/>
      <c r="O281" s="41"/>
      <c r="P281" s="41"/>
      <c r="Q281" s="41"/>
      <c r="R281" s="41"/>
    </row>
    <row r="282" spans="1:18" x14ac:dyDescent="0.35">
      <c r="A282" s="41"/>
      <c r="B282" s="46" t="s">
        <v>19</v>
      </c>
      <c r="C282" s="57">
        <v>2766562.1956000007</v>
      </c>
      <c r="D282" s="41">
        <v>2021</v>
      </c>
      <c r="E282" s="41" t="s">
        <v>77</v>
      </c>
      <c r="F282" s="41" t="s">
        <v>7</v>
      </c>
      <c r="G282" s="48" t="str">
        <f t="shared" si="6"/>
        <v>CDMX</v>
      </c>
      <c r="H282" s="41"/>
      <c r="I282" s="41"/>
      <c r="J282" s="41"/>
      <c r="K282" s="41"/>
      <c r="L282" s="41"/>
      <c r="M282" s="41"/>
      <c r="N282" s="41"/>
      <c r="O282" s="41"/>
      <c r="P282" s="41"/>
      <c r="Q282" s="41"/>
      <c r="R282" s="41"/>
    </row>
    <row r="283" spans="1:18" x14ac:dyDescent="0.35">
      <c r="A283" s="41"/>
      <c r="B283" s="46" t="s">
        <v>20</v>
      </c>
      <c r="C283" s="57">
        <v>3523536.9923999924</v>
      </c>
      <c r="D283" s="41">
        <v>2021</v>
      </c>
      <c r="E283" s="41" t="s">
        <v>77</v>
      </c>
      <c r="F283" s="41" t="s">
        <v>7</v>
      </c>
      <c r="G283" s="48" t="str">
        <f t="shared" si="6"/>
        <v>CDMX</v>
      </c>
      <c r="H283" s="41"/>
      <c r="I283" s="41"/>
      <c r="J283" s="41"/>
      <c r="K283" s="41"/>
      <c r="L283" s="41"/>
      <c r="M283" s="41"/>
      <c r="N283" s="41"/>
      <c r="O283" s="41"/>
      <c r="P283" s="41"/>
      <c r="Q283" s="41"/>
      <c r="R283" s="41"/>
    </row>
    <row r="284" spans="1:18" x14ac:dyDescent="0.35">
      <c r="A284" s="41"/>
      <c r="B284" s="46" t="s">
        <v>21</v>
      </c>
      <c r="C284" s="57">
        <v>2522795.7499999995</v>
      </c>
      <c r="D284" s="41">
        <v>2021</v>
      </c>
      <c r="E284" s="41" t="s">
        <v>77</v>
      </c>
      <c r="F284" s="41" t="s">
        <v>7</v>
      </c>
      <c r="G284" s="48" t="str">
        <f t="shared" si="6"/>
        <v>CDMX</v>
      </c>
      <c r="H284" s="41"/>
      <c r="I284" s="41"/>
      <c r="J284" s="41"/>
      <c r="K284" s="41"/>
      <c r="L284" s="41"/>
      <c r="M284" s="41"/>
      <c r="N284" s="41"/>
      <c r="O284" s="41"/>
      <c r="P284" s="41"/>
      <c r="Q284" s="41"/>
      <c r="R284" s="41"/>
    </row>
    <row r="285" spans="1:18" x14ac:dyDescent="0.35">
      <c r="A285" s="41"/>
      <c r="B285" s="46" t="s">
        <v>22</v>
      </c>
      <c r="C285" s="57">
        <v>2338182.7447999991</v>
      </c>
      <c r="D285" s="41">
        <v>2021</v>
      </c>
      <c r="E285" s="41" t="s">
        <v>77</v>
      </c>
      <c r="F285" s="41" t="s">
        <v>7</v>
      </c>
      <c r="G285" s="48" t="str">
        <f t="shared" si="6"/>
        <v>CDMX</v>
      </c>
      <c r="H285" s="41"/>
      <c r="I285" s="41"/>
      <c r="J285" s="41"/>
      <c r="K285" s="41"/>
      <c r="L285" s="41"/>
      <c r="M285" s="41"/>
      <c r="N285" s="41"/>
      <c r="O285" s="41"/>
      <c r="P285" s="41"/>
      <c r="Q285" s="41"/>
      <c r="R285" s="41"/>
    </row>
    <row r="286" spans="1:18" x14ac:dyDescent="0.35">
      <c r="A286" s="41"/>
      <c r="B286" s="46" t="s">
        <v>23</v>
      </c>
      <c r="C286" s="57">
        <v>2968618.2456</v>
      </c>
      <c r="D286" s="41">
        <v>2021</v>
      </c>
      <c r="E286" s="41" t="s">
        <v>77</v>
      </c>
      <c r="F286" s="41" t="s">
        <v>7</v>
      </c>
      <c r="G286" s="48" t="str">
        <f t="shared" si="6"/>
        <v>CDMX</v>
      </c>
      <c r="H286" s="41"/>
      <c r="I286" s="41"/>
      <c r="J286" s="41"/>
      <c r="K286" s="41"/>
      <c r="L286" s="41"/>
      <c r="M286" s="41"/>
      <c r="N286" s="41"/>
      <c r="O286" s="41"/>
      <c r="P286" s="41"/>
      <c r="Q286" s="41"/>
      <c r="R286" s="41"/>
    </row>
    <row r="287" spans="1:18" x14ac:dyDescent="0.35">
      <c r="A287" s="41"/>
      <c r="B287" s="46" t="s">
        <v>12</v>
      </c>
      <c r="C287" s="57">
        <v>5829997.4799999995</v>
      </c>
      <c r="D287" s="41">
        <v>2022</v>
      </c>
      <c r="E287" s="41" t="s">
        <v>77</v>
      </c>
      <c r="F287" s="41" t="s">
        <v>7</v>
      </c>
      <c r="G287" s="48" t="str">
        <f t="shared" si="6"/>
        <v>CDMX</v>
      </c>
      <c r="H287" s="41"/>
      <c r="I287" s="41"/>
      <c r="J287" s="41"/>
      <c r="K287" s="41"/>
      <c r="L287" s="41"/>
      <c r="M287" s="41"/>
      <c r="N287" s="41"/>
      <c r="O287" s="41"/>
      <c r="P287" s="41"/>
      <c r="Q287" s="41"/>
      <c r="R287" s="41"/>
    </row>
    <row r="288" spans="1:18" x14ac:dyDescent="0.35">
      <c r="A288" s="41"/>
      <c r="B288" s="46" t="s">
        <v>13</v>
      </c>
      <c r="C288" s="57">
        <v>2591746.5300000003</v>
      </c>
      <c r="D288" s="41">
        <v>2022</v>
      </c>
      <c r="E288" s="41" t="s">
        <v>77</v>
      </c>
      <c r="F288" s="41" t="s">
        <v>7</v>
      </c>
      <c r="G288" s="48" t="str">
        <f t="shared" si="6"/>
        <v>CDMX</v>
      </c>
      <c r="H288" s="41"/>
      <c r="I288" s="41"/>
      <c r="J288" s="41"/>
      <c r="K288" s="41"/>
      <c r="L288" s="41"/>
      <c r="M288" s="41"/>
      <c r="N288" s="41"/>
      <c r="O288" s="41"/>
      <c r="P288" s="41"/>
      <c r="Q288" s="41"/>
      <c r="R288" s="41"/>
    </row>
    <row r="289" spans="1:18" x14ac:dyDescent="0.35">
      <c r="A289" s="41"/>
      <c r="B289" s="46" t="s">
        <v>14</v>
      </c>
      <c r="C289" s="57">
        <v>2453115.4700000011</v>
      </c>
      <c r="D289" s="41">
        <v>2022</v>
      </c>
      <c r="E289" s="41" t="s">
        <v>77</v>
      </c>
      <c r="F289" s="41" t="s">
        <v>7</v>
      </c>
      <c r="G289" s="48" t="str">
        <f t="shared" si="6"/>
        <v>CDMX</v>
      </c>
      <c r="H289" s="41"/>
      <c r="I289" s="41"/>
      <c r="J289" s="41"/>
      <c r="K289" s="41"/>
      <c r="L289" s="41"/>
      <c r="M289" s="41"/>
      <c r="N289" s="41"/>
      <c r="O289" s="41"/>
      <c r="P289" s="41"/>
      <c r="Q289" s="41"/>
      <c r="R289" s="41"/>
    </row>
    <row r="290" spans="1:18" x14ac:dyDescent="0.35">
      <c r="A290" s="41"/>
      <c r="B290" s="46" t="s">
        <v>15</v>
      </c>
      <c r="C290" s="57">
        <v>2463749.0288</v>
      </c>
      <c r="D290" s="41">
        <v>2022</v>
      </c>
      <c r="E290" s="41" t="s">
        <v>77</v>
      </c>
      <c r="F290" s="41" t="s">
        <v>7</v>
      </c>
      <c r="G290" s="48" t="str">
        <f t="shared" si="6"/>
        <v>CDMX</v>
      </c>
      <c r="H290" s="41"/>
      <c r="I290" s="41"/>
      <c r="J290" s="41"/>
      <c r="K290" s="41"/>
      <c r="L290" s="41"/>
      <c r="M290" s="41"/>
      <c r="N290" s="41"/>
      <c r="O290" s="41"/>
      <c r="P290" s="41"/>
      <c r="Q290" s="41"/>
      <c r="R290" s="41"/>
    </row>
    <row r="291" spans="1:18" x14ac:dyDescent="0.35">
      <c r="A291" s="41"/>
      <c r="B291" s="51" t="s">
        <v>16</v>
      </c>
      <c r="C291" s="58"/>
      <c r="D291" s="53">
        <v>2022</v>
      </c>
      <c r="E291" s="53" t="s">
        <v>77</v>
      </c>
      <c r="F291" s="53" t="s">
        <v>7</v>
      </c>
      <c r="G291" s="54" t="str">
        <f t="shared" si="6"/>
        <v>CDMX</v>
      </c>
      <c r="H291" s="41"/>
      <c r="I291" s="41"/>
      <c r="J291" s="41"/>
      <c r="K291" s="41"/>
      <c r="L291" s="41"/>
      <c r="M291" s="41"/>
      <c r="N291" s="41"/>
      <c r="O291" s="41"/>
      <c r="P291" s="41"/>
      <c r="Q291" s="41"/>
      <c r="R291" s="41"/>
    </row>
    <row r="292" spans="1:18" x14ac:dyDescent="0.35">
      <c r="A292" s="41"/>
      <c r="B292" s="46" t="s">
        <v>12</v>
      </c>
      <c r="C292" s="57">
        <v>0</v>
      </c>
      <c r="D292" s="41">
        <v>2021</v>
      </c>
      <c r="E292" s="41" t="s">
        <v>77</v>
      </c>
      <c r="F292" s="41" t="s">
        <v>53</v>
      </c>
      <c r="G292" s="48" t="str">
        <f t="shared" si="6"/>
        <v>Jalisco</v>
      </c>
      <c r="H292" s="41"/>
      <c r="I292" s="41"/>
      <c r="J292" s="41"/>
      <c r="K292" s="41"/>
      <c r="L292" s="41"/>
      <c r="M292" s="41"/>
      <c r="N292" s="41"/>
      <c r="O292" s="41"/>
      <c r="P292" s="41"/>
      <c r="Q292" s="41"/>
      <c r="R292" s="41"/>
    </row>
    <row r="293" spans="1:18" x14ac:dyDescent="0.35">
      <c r="A293" s="41"/>
      <c r="B293" s="46" t="s">
        <v>13</v>
      </c>
      <c r="C293" s="57">
        <v>0</v>
      </c>
      <c r="D293" s="41">
        <v>2021</v>
      </c>
      <c r="E293" s="41" t="s">
        <v>77</v>
      </c>
      <c r="F293" s="41" t="s">
        <v>53</v>
      </c>
      <c r="G293" s="48" t="str">
        <f t="shared" si="6"/>
        <v>Jalisco</v>
      </c>
      <c r="H293" s="41"/>
      <c r="I293" s="41"/>
      <c r="J293" s="41"/>
      <c r="K293" s="41"/>
      <c r="L293" s="41"/>
      <c r="M293" s="41"/>
      <c r="N293" s="41"/>
      <c r="O293" s="41"/>
      <c r="P293" s="41"/>
      <c r="Q293" s="41"/>
      <c r="R293" s="41"/>
    </row>
    <row r="294" spans="1:18" x14ac:dyDescent="0.35">
      <c r="A294" s="41"/>
      <c r="B294" s="46" t="s">
        <v>14</v>
      </c>
      <c r="C294" s="57">
        <v>0</v>
      </c>
      <c r="D294" s="41">
        <v>2021</v>
      </c>
      <c r="E294" s="41" t="s">
        <v>77</v>
      </c>
      <c r="F294" s="41" t="s">
        <v>53</v>
      </c>
      <c r="G294" s="48" t="str">
        <f t="shared" si="6"/>
        <v>Jalisco</v>
      </c>
      <c r="H294" s="41"/>
      <c r="I294" s="41"/>
      <c r="J294" s="41"/>
      <c r="K294" s="41"/>
      <c r="L294" s="41"/>
      <c r="M294" s="41"/>
      <c r="N294" s="41"/>
      <c r="O294" s="41"/>
      <c r="P294" s="41"/>
      <c r="Q294" s="41"/>
      <c r="R294" s="41"/>
    </row>
    <row r="295" spans="1:18" x14ac:dyDescent="0.35">
      <c r="A295" s="41"/>
      <c r="B295" s="46" t="s">
        <v>15</v>
      </c>
      <c r="C295" s="57">
        <v>0</v>
      </c>
      <c r="D295" s="41">
        <v>2021</v>
      </c>
      <c r="E295" s="41" t="s">
        <v>77</v>
      </c>
      <c r="F295" s="41" t="s">
        <v>53</v>
      </c>
      <c r="G295" s="48" t="str">
        <f t="shared" si="6"/>
        <v>Jalisco</v>
      </c>
      <c r="H295" s="41"/>
      <c r="I295" s="41"/>
      <c r="J295" s="41"/>
      <c r="K295" s="41"/>
      <c r="L295" s="41"/>
      <c r="M295" s="41"/>
      <c r="N295" s="41"/>
      <c r="O295" s="41"/>
      <c r="P295" s="41"/>
      <c r="Q295" s="41"/>
      <c r="R295" s="41"/>
    </row>
    <row r="296" spans="1:18" x14ac:dyDescent="0.35">
      <c r="A296" s="41"/>
      <c r="B296" s="46" t="s">
        <v>16</v>
      </c>
      <c r="C296" s="57">
        <v>0</v>
      </c>
      <c r="D296" s="41">
        <v>2021</v>
      </c>
      <c r="E296" s="41" t="s">
        <v>77</v>
      </c>
      <c r="F296" s="41" t="s">
        <v>53</v>
      </c>
      <c r="G296" s="48" t="str">
        <f t="shared" si="6"/>
        <v>Jalisco</v>
      </c>
      <c r="H296" s="41"/>
      <c r="I296" s="41"/>
      <c r="J296" s="41"/>
      <c r="K296" s="41"/>
      <c r="L296" s="41"/>
      <c r="M296" s="41"/>
      <c r="N296" s="41"/>
      <c r="O296" s="41"/>
      <c r="P296" s="41"/>
      <c r="Q296" s="41"/>
      <c r="R296" s="41"/>
    </row>
    <row r="297" spans="1:18" x14ac:dyDescent="0.35">
      <c r="A297" s="41"/>
      <c r="B297" s="46" t="s">
        <v>17</v>
      </c>
      <c r="C297" s="57">
        <v>0</v>
      </c>
      <c r="D297" s="41">
        <v>2021</v>
      </c>
      <c r="E297" s="41" t="s">
        <v>77</v>
      </c>
      <c r="F297" s="41" t="s">
        <v>53</v>
      </c>
      <c r="G297" s="48" t="str">
        <f t="shared" si="6"/>
        <v>Jalisco</v>
      </c>
      <c r="H297" s="41"/>
      <c r="I297" s="41"/>
      <c r="J297" s="41"/>
      <c r="K297" s="41"/>
      <c r="L297" s="41"/>
      <c r="M297" s="41"/>
      <c r="N297" s="41"/>
      <c r="O297" s="41"/>
      <c r="P297" s="41"/>
      <c r="Q297" s="41"/>
      <c r="R297" s="41"/>
    </row>
    <row r="298" spans="1:18" x14ac:dyDescent="0.35">
      <c r="A298" s="41"/>
      <c r="B298" s="46" t="s">
        <v>18</v>
      </c>
      <c r="C298" s="57">
        <v>0</v>
      </c>
      <c r="D298" s="41">
        <v>2021</v>
      </c>
      <c r="E298" s="41" t="s">
        <v>77</v>
      </c>
      <c r="F298" s="41" t="s">
        <v>53</v>
      </c>
      <c r="G298" s="48" t="str">
        <f t="shared" si="6"/>
        <v>Jalisco</v>
      </c>
      <c r="H298" s="41"/>
      <c r="I298" s="41"/>
      <c r="J298" s="41"/>
      <c r="K298" s="41"/>
      <c r="L298" s="41"/>
      <c r="M298" s="41"/>
      <c r="N298" s="41"/>
      <c r="O298" s="41"/>
      <c r="P298" s="41"/>
      <c r="Q298" s="41"/>
      <c r="R298" s="41"/>
    </row>
    <row r="299" spans="1:18" x14ac:dyDescent="0.35">
      <c r="A299" s="41"/>
      <c r="B299" s="46" t="s">
        <v>19</v>
      </c>
      <c r="C299" s="57">
        <v>0</v>
      </c>
      <c r="D299" s="41">
        <v>2021</v>
      </c>
      <c r="E299" s="41" t="s">
        <v>77</v>
      </c>
      <c r="F299" s="41" t="s">
        <v>53</v>
      </c>
      <c r="G299" s="48" t="str">
        <f t="shared" si="6"/>
        <v>Jalisco</v>
      </c>
      <c r="H299" s="41"/>
      <c r="I299" s="41"/>
      <c r="J299" s="41"/>
      <c r="K299" s="41"/>
      <c r="L299" s="41"/>
      <c r="M299" s="41"/>
      <c r="N299" s="41"/>
      <c r="O299" s="41"/>
      <c r="P299" s="41"/>
      <c r="Q299" s="41"/>
      <c r="R299" s="41"/>
    </row>
    <row r="300" spans="1:18" x14ac:dyDescent="0.35">
      <c r="A300" s="41"/>
      <c r="B300" s="46" t="s">
        <v>20</v>
      </c>
      <c r="C300" s="57">
        <v>0</v>
      </c>
      <c r="D300" s="41">
        <v>2021</v>
      </c>
      <c r="E300" s="41" t="s">
        <v>77</v>
      </c>
      <c r="F300" s="41" t="s">
        <v>53</v>
      </c>
      <c r="G300" s="48" t="str">
        <f t="shared" si="6"/>
        <v>Jalisco</v>
      </c>
      <c r="H300" s="41"/>
      <c r="I300" s="41"/>
      <c r="J300" s="41"/>
      <c r="K300" s="41"/>
      <c r="L300" s="41"/>
      <c r="M300" s="41"/>
      <c r="N300" s="41"/>
      <c r="O300" s="41"/>
      <c r="P300" s="41"/>
      <c r="Q300" s="41"/>
      <c r="R300" s="41"/>
    </row>
    <row r="301" spans="1:18" x14ac:dyDescent="0.35">
      <c r="A301" s="41"/>
      <c r="B301" s="46" t="s">
        <v>21</v>
      </c>
      <c r="C301" s="57">
        <v>0</v>
      </c>
      <c r="D301" s="41">
        <v>2021</v>
      </c>
      <c r="E301" s="41" t="s">
        <v>77</v>
      </c>
      <c r="F301" s="41" t="s">
        <v>53</v>
      </c>
      <c r="G301" s="48" t="str">
        <f t="shared" si="6"/>
        <v>Jalisco</v>
      </c>
      <c r="H301" s="41"/>
      <c r="I301" s="41"/>
      <c r="J301" s="41"/>
      <c r="K301" s="41"/>
      <c r="L301" s="41"/>
      <c r="M301" s="41"/>
      <c r="N301" s="41"/>
      <c r="O301" s="41"/>
      <c r="P301" s="41"/>
      <c r="Q301" s="41"/>
      <c r="R301" s="41"/>
    </row>
    <row r="302" spans="1:18" x14ac:dyDescent="0.35">
      <c r="A302" s="41"/>
      <c r="B302" s="46" t="s">
        <v>22</v>
      </c>
      <c r="C302" s="57">
        <v>0</v>
      </c>
      <c r="D302" s="41">
        <v>2021</v>
      </c>
      <c r="E302" s="41" t="s">
        <v>77</v>
      </c>
      <c r="F302" s="41" t="s">
        <v>53</v>
      </c>
      <c r="G302" s="48" t="str">
        <f t="shared" si="6"/>
        <v>Jalisco</v>
      </c>
      <c r="H302" s="41"/>
      <c r="I302" s="41"/>
      <c r="J302" s="41"/>
      <c r="K302" s="41"/>
      <c r="L302" s="41"/>
      <c r="M302" s="41"/>
      <c r="N302" s="41"/>
      <c r="O302" s="41"/>
      <c r="P302" s="41"/>
      <c r="Q302" s="41"/>
      <c r="R302" s="41"/>
    </row>
    <row r="303" spans="1:18" x14ac:dyDescent="0.35">
      <c r="A303" s="41"/>
      <c r="B303" s="46" t="s">
        <v>23</v>
      </c>
      <c r="C303" s="57">
        <v>0</v>
      </c>
      <c r="D303" s="41">
        <v>2021</v>
      </c>
      <c r="E303" s="41" t="s">
        <v>77</v>
      </c>
      <c r="F303" s="41" t="s">
        <v>53</v>
      </c>
      <c r="G303" s="48" t="str">
        <f t="shared" si="6"/>
        <v>Jalisco</v>
      </c>
      <c r="H303" s="41"/>
      <c r="I303" s="41"/>
      <c r="J303" s="41"/>
      <c r="K303" s="41"/>
      <c r="L303" s="41"/>
      <c r="M303" s="41"/>
      <c r="N303" s="41"/>
      <c r="O303" s="41"/>
      <c r="P303" s="41"/>
      <c r="Q303" s="41"/>
      <c r="R303" s="41"/>
    </row>
    <row r="304" spans="1:18" x14ac:dyDescent="0.35">
      <c r="A304" s="41"/>
      <c r="B304" s="46" t="s">
        <v>12</v>
      </c>
      <c r="C304" s="57">
        <v>0</v>
      </c>
      <c r="D304" s="41">
        <v>2022</v>
      </c>
      <c r="E304" s="41" t="s">
        <v>77</v>
      </c>
      <c r="F304" s="41" t="s">
        <v>53</v>
      </c>
      <c r="G304" s="48" t="str">
        <f t="shared" si="6"/>
        <v>Jalisco</v>
      </c>
      <c r="H304" s="41"/>
      <c r="I304" s="41"/>
      <c r="J304" s="41"/>
      <c r="K304" s="41"/>
      <c r="L304" s="41"/>
      <c r="M304" s="41"/>
      <c r="N304" s="41"/>
      <c r="O304" s="41"/>
      <c r="P304" s="41"/>
      <c r="Q304" s="41"/>
      <c r="R304" s="41"/>
    </row>
    <row r="305" spans="1:18" x14ac:dyDescent="0.35">
      <c r="A305" s="41"/>
      <c r="B305" s="46" t="s">
        <v>13</v>
      </c>
      <c r="C305" s="57">
        <v>0</v>
      </c>
      <c r="D305" s="41">
        <v>2022</v>
      </c>
      <c r="E305" s="41" t="s">
        <v>77</v>
      </c>
      <c r="F305" s="41" t="s">
        <v>53</v>
      </c>
      <c r="G305" s="48" t="str">
        <f t="shared" si="6"/>
        <v>Jalisco</v>
      </c>
      <c r="H305" s="41"/>
      <c r="I305" s="41"/>
      <c r="J305" s="41"/>
      <c r="K305" s="41"/>
      <c r="L305" s="41"/>
      <c r="M305" s="41"/>
      <c r="N305" s="41"/>
      <c r="O305" s="41"/>
      <c r="P305" s="41"/>
      <c r="Q305" s="41"/>
      <c r="R305" s="41"/>
    </row>
    <row r="306" spans="1:18" x14ac:dyDescent="0.35">
      <c r="A306" s="41"/>
      <c r="B306" s="46" t="s">
        <v>14</v>
      </c>
      <c r="C306" s="57">
        <v>0</v>
      </c>
      <c r="D306" s="41">
        <v>2022</v>
      </c>
      <c r="E306" s="41" t="s">
        <v>77</v>
      </c>
      <c r="F306" s="41" t="s">
        <v>53</v>
      </c>
      <c r="G306" s="48" t="str">
        <f t="shared" si="6"/>
        <v>Jalisco</v>
      </c>
      <c r="H306" s="41"/>
      <c r="I306" s="41"/>
      <c r="J306" s="41"/>
      <c r="K306" s="41"/>
      <c r="L306" s="41"/>
      <c r="M306" s="41"/>
      <c r="N306" s="41"/>
      <c r="O306" s="41"/>
      <c r="P306" s="41"/>
      <c r="Q306" s="41"/>
      <c r="R306" s="41"/>
    </row>
    <row r="307" spans="1:18" x14ac:dyDescent="0.35">
      <c r="A307" s="41"/>
      <c r="B307" s="46" t="s">
        <v>15</v>
      </c>
      <c r="C307" s="57">
        <v>0</v>
      </c>
      <c r="D307" s="41">
        <v>2022</v>
      </c>
      <c r="E307" s="41" t="s">
        <v>77</v>
      </c>
      <c r="F307" s="41" t="s">
        <v>53</v>
      </c>
      <c r="G307" s="48" t="str">
        <f t="shared" si="6"/>
        <v>Jalisco</v>
      </c>
      <c r="H307" s="41"/>
      <c r="I307" s="41"/>
      <c r="J307" s="41"/>
      <c r="K307" s="41"/>
      <c r="L307" s="41"/>
      <c r="M307" s="41"/>
      <c r="N307" s="41"/>
      <c r="O307" s="41"/>
      <c r="P307" s="41"/>
      <c r="Q307" s="41"/>
      <c r="R307" s="41"/>
    </row>
    <row r="308" spans="1:18" x14ac:dyDescent="0.35">
      <c r="A308" s="41"/>
      <c r="B308" s="51" t="s">
        <v>16</v>
      </c>
      <c r="C308" s="58"/>
      <c r="D308" s="53">
        <v>2022</v>
      </c>
      <c r="E308" s="53" t="s">
        <v>77</v>
      </c>
      <c r="F308" s="53" t="s">
        <v>53</v>
      </c>
      <c r="G308" s="54" t="str">
        <f t="shared" si="6"/>
        <v>Jalisco</v>
      </c>
      <c r="H308" s="41"/>
      <c r="I308" s="41"/>
      <c r="J308" s="41"/>
      <c r="K308" s="41"/>
      <c r="L308" s="41"/>
      <c r="M308" s="41"/>
      <c r="N308" s="41"/>
      <c r="O308" s="41"/>
      <c r="P308" s="41"/>
      <c r="Q308" s="41"/>
      <c r="R308" s="41"/>
    </row>
    <row r="309" spans="1:18" x14ac:dyDescent="0.35">
      <c r="A309" s="41"/>
      <c r="B309" s="46" t="s">
        <v>12</v>
      </c>
      <c r="C309" s="57">
        <v>249090.27999999997</v>
      </c>
      <c r="D309" s="41">
        <v>2021</v>
      </c>
      <c r="E309" s="41" t="s">
        <v>76</v>
      </c>
      <c r="F309" s="41" t="s">
        <v>31</v>
      </c>
      <c r="G309" s="48" t="str">
        <f t="shared" si="6"/>
        <v>Oaxaca</v>
      </c>
      <c r="H309" s="41"/>
      <c r="I309" s="41"/>
      <c r="J309" s="41"/>
      <c r="K309" s="41"/>
      <c r="L309" s="41"/>
      <c r="M309" s="41"/>
      <c r="N309" s="41"/>
      <c r="O309" s="41"/>
      <c r="P309" s="41"/>
      <c r="Q309" s="41"/>
      <c r="R309" s="41"/>
    </row>
    <row r="310" spans="1:18" x14ac:dyDescent="0.35">
      <c r="A310" s="41"/>
      <c r="B310" s="46" t="s">
        <v>13</v>
      </c>
      <c r="C310" s="57">
        <v>396337.19640000002</v>
      </c>
      <c r="D310" s="41">
        <v>2021</v>
      </c>
      <c r="E310" s="41" t="s">
        <v>76</v>
      </c>
      <c r="F310" s="41" t="s">
        <v>31</v>
      </c>
      <c r="G310" s="48" t="str">
        <f t="shared" si="6"/>
        <v>Oaxaca</v>
      </c>
      <c r="H310" s="41"/>
      <c r="I310" s="41"/>
      <c r="J310" s="41"/>
      <c r="K310" s="41"/>
      <c r="L310" s="41"/>
      <c r="M310" s="41"/>
      <c r="N310" s="41"/>
      <c r="O310" s="41"/>
      <c r="P310" s="41"/>
      <c r="Q310" s="41"/>
      <c r="R310" s="41"/>
    </row>
    <row r="311" spans="1:18" x14ac:dyDescent="0.35">
      <c r="A311" s="41"/>
      <c r="B311" s="46" t="s">
        <v>14</v>
      </c>
      <c r="C311" s="57">
        <v>404756.48000000004</v>
      </c>
      <c r="D311" s="41">
        <v>2021</v>
      </c>
      <c r="E311" s="41" t="s">
        <v>76</v>
      </c>
      <c r="F311" s="41" t="s">
        <v>31</v>
      </c>
      <c r="G311" s="48" t="str">
        <f t="shared" si="6"/>
        <v>Oaxaca</v>
      </c>
      <c r="H311" s="41"/>
      <c r="I311" s="41"/>
      <c r="J311" s="41"/>
      <c r="K311" s="41"/>
      <c r="L311" s="41"/>
      <c r="M311" s="41"/>
      <c r="N311" s="41"/>
      <c r="O311" s="41"/>
      <c r="P311" s="41"/>
      <c r="Q311" s="41"/>
      <c r="R311" s="41"/>
    </row>
    <row r="312" spans="1:18" x14ac:dyDescent="0.35">
      <c r="A312" s="41"/>
      <c r="B312" s="46" t="s">
        <v>15</v>
      </c>
      <c r="C312" s="57">
        <v>322984.60000000003</v>
      </c>
      <c r="D312" s="41">
        <v>2021</v>
      </c>
      <c r="E312" s="41" t="s">
        <v>76</v>
      </c>
      <c r="F312" s="41" t="s">
        <v>31</v>
      </c>
      <c r="G312" s="48" t="str">
        <f t="shared" si="6"/>
        <v>Oaxaca</v>
      </c>
      <c r="H312" s="41"/>
      <c r="I312" s="41"/>
      <c r="J312" s="41"/>
      <c r="K312" s="41"/>
      <c r="L312" s="41"/>
      <c r="M312" s="41"/>
      <c r="N312" s="41"/>
      <c r="O312" s="41"/>
      <c r="P312" s="41"/>
      <c r="Q312" s="41"/>
      <c r="R312" s="41"/>
    </row>
    <row r="313" spans="1:18" x14ac:dyDescent="0.35">
      <c r="A313" s="41"/>
      <c r="B313" s="46" t="s">
        <v>16</v>
      </c>
      <c r="C313" s="57">
        <v>291997.52040000004</v>
      </c>
      <c r="D313" s="41">
        <v>2021</v>
      </c>
      <c r="E313" s="41" t="s">
        <v>76</v>
      </c>
      <c r="F313" s="41" t="s">
        <v>31</v>
      </c>
      <c r="G313" s="48" t="str">
        <f t="shared" si="6"/>
        <v>Oaxaca</v>
      </c>
      <c r="H313" s="41"/>
      <c r="I313" s="41"/>
      <c r="J313" s="41"/>
      <c r="K313" s="41"/>
      <c r="L313" s="41"/>
      <c r="M313" s="41"/>
      <c r="N313" s="41"/>
      <c r="O313" s="41"/>
      <c r="P313" s="41"/>
      <c r="Q313" s="41"/>
      <c r="R313" s="41"/>
    </row>
    <row r="314" spans="1:18" x14ac:dyDescent="0.35">
      <c r="A314" s="41"/>
      <c r="B314" s="46" t="s">
        <v>17</v>
      </c>
      <c r="C314" s="57">
        <v>277127.48000000278</v>
      </c>
      <c r="D314" s="41">
        <v>2021</v>
      </c>
      <c r="E314" s="41" t="s">
        <v>76</v>
      </c>
      <c r="F314" s="41" t="s">
        <v>31</v>
      </c>
      <c r="G314" s="48" t="str">
        <f t="shared" si="6"/>
        <v>Oaxaca</v>
      </c>
      <c r="H314" s="41"/>
      <c r="I314" s="41"/>
      <c r="J314" s="41"/>
      <c r="K314" s="41"/>
      <c r="L314" s="41"/>
      <c r="M314" s="41"/>
      <c r="N314" s="41"/>
      <c r="O314" s="41"/>
      <c r="P314" s="41"/>
      <c r="Q314" s="41"/>
      <c r="R314" s="41"/>
    </row>
    <row r="315" spans="1:18" x14ac:dyDescent="0.35">
      <c r="A315" s="41"/>
      <c r="B315" s="46" t="s">
        <v>18</v>
      </c>
      <c r="C315" s="57">
        <v>343325.20000000118</v>
      </c>
      <c r="D315" s="41">
        <v>2021</v>
      </c>
      <c r="E315" s="41" t="s">
        <v>76</v>
      </c>
      <c r="F315" s="41" t="s">
        <v>31</v>
      </c>
      <c r="G315" s="48" t="str">
        <f t="shared" si="6"/>
        <v>Oaxaca</v>
      </c>
      <c r="H315" s="41"/>
      <c r="I315" s="41"/>
      <c r="J315" s="41"/>
      <c r="K315" s="41"/>
      <c r="L315" s="41"/>
      <c r="M315" s="41"/>
      <c r="N315" s="41"/>
      <c r="O315" s="41"/>
      <c r="P315" s="41"/>
      <c r="Q315" s="41"/>
      <c r="R315" s="41"/>
    </row>
    <row r="316" spans="1:18" x14ac:dyDescent="0.35">
      <c r="A316" s="41"/>
      <c r="B316" s="46" t="s">
        <v>19</v>
      </c>
      <c r="C316" s="57">
        <v>489265.96000000398</v>
      </c>
      <c r="D316" s="41">
        <v>2021</v>
      </c>
      <c r="E316" s="41" t="s">
        <v>76</v>
      </c>
      <c r="F316" s="41" t="s">
        <v>31</v>
      </c>
      <c r="G316" s="48" t="str">
        <f t="shared" si="6"/>
        <v>Oaxaca</v>
      </c>
      <c r="H316" s="41"/>
      <c r="I316" s="41"/>
      <c r="J316" s="41"/>
      <c r="K316" s="41"/>
      <c r="L316" s="41"/>
      <c r="M316" s="41"/>
      <c r="N316" s="41"/>
      <c r="O316" s="41"/>
      <c r="P316" s="41"/>
      <c r="Q316" s="41"/>
      <c r="R316" s="41"/>
    </row>
    <row r="317" spans="1:18" x14ac:dyDescent="0.35">
      <c r="A317" s="41"/>
      <c r="B317" s="46" t="s">
        <v>20</v>
      </c>
      <c r="C317" s="57">
        <v>398362.56000000256</v>
      </c>
      <c r="D317" s="41">
        <v>2021</v>
      </c>
      <c r="E317" s="41" t="s">
        <v>76</v>
      </c>
      <c r="F317" s="41" t="s">
        <v>31</v>
      </c>
      <c r="G317" s="48" t="str">
        <f t="shared" si="6"/>
        <v>Oaxaca</v>
      </c>
      <c r="H317" s="41"/>
      <c r="I317" s="41"/>
      <c r="J317" s="41"/>
      <c r="K317" s="41"/>
      <c r="L317" s="41"/>
      <c r="M317" s="41"/>
      <c r="N317" s="41"/>
      <c r="O317" s="41"/>
      <c r="P317" s="41"/>
      <c r="Q317" s="41"/>
      <c r="R317" s="41"/>
    </row>
    <row r="318" spans="1:18" x14ac:dyDescent="0.35">
      <c r="A318" s="41"/>
      <c r="B318" s="46" t="s">
        <v>21</v>
      </c>
      <c r="C318" s="57">
        <v>343514.28000000177</v>
      </c>
      <c r="D318" s="41">
        <v>2021</v>
      </c>
      <c r="E318" s="41" t="s">
        <v>76</v>
      </c>
      <c r="F318" s="41" t="s">
        <v>31</v>
      </c>
      <c r="G318" s="48" t="str">
        <f t="shared" si="6"/>
        <v>Oaxaca</v>
      </c>
      <c r="H318" s="41"/>
      <c r="I318" s="41"/>
      <c r="J318" s="41"/>
      <c r="K318" s="41"/>
      <c r="L318" s="41"/>
      <c r="M318" s="41"/>
      <c r="N318" s="41"/>
      <c r="O318" s="41"/>
      <c r="P318" s="41"/>
      <c r="Q318" s="41"/>
      <c r="R318" s="41"/>
    </row>
    <row r="319" spans="1:18" x14ac:dyDescent="0.35">
      <c r="A319" s="41"/>
      <c r="B319" s="46" t="s">
        <v>22</v>
      </c>
      <c r="C319" s="57">
        <v>333132.28000000323</v>
      </c>
      <c r="D319" s="41">
        <v>2021</v>
      </c>
      <c r="E319" s="41" t="s">
        <v>76</v>
      </c>
      <c r="F319" s="41" t="s">
        <v>31</v>
      </c>
      <c r="G319" s="48" t="str">
        <f t="shared" si="6"/>
        <v>Oaxaca</v>
      </c>
      <c r="H319" s="41"/>
      <c r="I319" s="41"/>
      <c r="J319" s="41"/>
      <c r="K319" s="41"/>
      <c r="L319" s="41"/>
      <c r="M319" s="41"/>
      <c r="N319" s="41"/>
      <c r="O319" s="41"/>
      <c r="P319" s="41"/>
      <c r="Q319" s="41"/>
      <c r="R319" s="41"/>
    </row>
    <row r="320" spans="1:18" x14ac:dyDescent="0.35">
      <c r="A320" s="41"/>
      <c r="B320" s="46" t="s">
        <v>23</v>
      </c>
      <c r="C320" s="57">
        <v>332142.80000000168</v>
      </c>
      <c r="D320" s="41">
        <v>2021</v>
      </c>
      <c r="E320" s="41" t="s">
        <v>76</v>
      </c>
      <c r="F320" s="41" t="s">
        <v>31</v>
      </c>
      <c r="G320" s="48" t="str">
        <f t="shared" si="6"/>
        <v>Oaxaca</v>
      </c>
      <c r="H320" s="41"/>
      <c r="I320" s="41"/>
      <c r="J320" s="41"/>
      <c r="K320" s="41"/>
      <c r="L320" s="41"/>
      <c r="M320" s="41"/>
      <c r="N320" s="41"/>
      <c r="O320" s="41"/>
      <c r="P320" s="41"/>
      <c r="Q320" s="41"/>
      <c r="R320" s="41"/>
    </row>
    <row r="321" spans="1:18" x14ac:dyDescent="0.35">
      <c r="A321" s="41"/>
      <c r="B321" s="46" t="s">
        <v>12</v>
      </c>
      <c r="C321" s="57">
        <v>290018.56000000093</v>
      </c>
      <c r="D321" s="41">
        <v>2022</v>
      </c>
      <c r="E321" s="41" t="s">
        <v>76</v>
      </c>
      <c r="F321" s="41" t="s">
        <v>31</v>
      </c>
      <c r="G321" s="48" t="str">
        <f t="shared" si="6"/>
        <v>Oaxaca</v>
      </c>
      <c r="H321" s="41"/>
      <c r="I321" s="41"/>
      <c r="J321" s="41"/>
      <c r="K321" s="41"/>
      <c r="L321" s="41"/>
      <c r="M321" s="41"/>
      <c r="N321" s="41"/>
      <c r="O321" s="41"/>
      <c r="P321" s="41"/>
      <c r="Q321" s="41"/>
      <c r="R321" s="41"/>
    </row>
    <row r="322" spans="1:18" x14ac:dyDescent="0.35">
      <c r="A322" s="41"/>
      <c r="B322" s="46" t="s">
        <v>13</v>
      </c>
      <c r="C322" s="57">
        <v>315836.6800000004</v>
      </c>
      <c r="D322" s="41">
        <v>2022</v>
      </c>
      <c r="E322" s="41" t="s">
        <v>76</v>
      </c>
      <c r="F322" s="41" t="s">
        <v>31</v>
      </c>
      <c r="G322" s="48" t="str">
        <f t="shared" si="6"/>
        <v>Oaxaca</v>
      </c>
      <c r="H322" s="41"/>
      <c r="I322" s="41"/>
      <c r="J322" s="41"/>
      <c r="K322" s="41"/>
      <c r="L322" s="41"/>
      <c r="M322" s="41"/>
      <c r="N322" s="41"/>
      <c r="O322" s="41"/>
      <c r="P322" s="41"/>
      <c r="Q322" s="41"/>
      <c r="R322" s="41"/>
    </row>
    <row r="323" spans="1:18" x14ac:dyDescent="0.35">
      <c r="A323" s="41"/>
      <c r="B323" s="46" t="s">
        <v>14</v>
      </c>
      <c r="C323" s="57">
        <v>347919.95999999985</v>
      </c>
      <c r="D323" s="41">
        <v>2022</v>
      </c>
      <c r="E323" s="41" t="s">
        <v>76</v>
      </c>
      <c r="F323" s="41" t="s">
        <v>31</v>
      </c>
      <c r="G323" s="48" t="str">
        <f t="shared" ref="G323:G386" si="7">VLOOKUP(F323,$T$3:$U$11,2,0)</f>
        <v>Oaxaca</v>
      </c>
      <c r="H323" s="41"/>
      <c r="I323" s="41"/>
      <c r="J323" s="41"/>
      <c r="K323" s="41"/>
      <c r="L323" s="41"/>
      <c r="M323" s="41"/>
      <c r="N323" s="41"/>
      <c r="O323" s="41"/>
      <c r="P323" s="41"/>
      <c r="Q323" s="41"/>
      <c r="R323" s="41"/>
    </row>
    <row r="324" spans="1:18" x14ac:dyDescent="0.35">
      <c r="A324" s="41"/>
      <c r="B324" s="46" t="s">
        <v>15</v>
      </c>
      <c r="C324" s="57">
        <v>420454.9224000051</v>
      </c>
      <c r="D324" s="41">
        <v>2022</v>
      </c>
      <c r="E324" s="41" t="s">
        <v>76</v>
      </c>
      <c r="F324" s="41" t="s">
        <v>31</v>
      </c>
      <c r="G324" s="48" t="str">
        <f t="shared" si="7"/>
        <v>Oaxaca</v>
      </c>
      <c r="H324" s="41"/>
      <c r="I324" s="41"/>
      <c r="J324" s="41"/>
      <c r="K324" s="41"/>
      <c r="L324" s="41"/>
      <c r="M324" s="41"/>
      <c r="N324" s="41"/>
      <c r="O324" s="41"/>
      <c r="P324" s="41"/>
      <c r="Q324" s="41"/>
      <c r="R324" s="41"/>
    </row>
    <row r="325" spans="1:18" x14ac:dyDescent="0.35">
      <c r="A325" s="41"/>
      <c r="B325" s="51" t="s">
        <v>16</v>
      </c>
      <c r="C325" s="58">
        <v>281705.99999999994</v>
      </c>
      <c r="D325" s="53">
        <v>2022</v>
      </c>
      <c r="E325" s="53" t="s">
        <v>76</v>
      </c>
      <c r="F325" s="53" t="s">
        <v>31</v>
      </c>
      <c r="G325" s="54" t="str">
        <f t="shared" si="7"/>
        <v>Oaxaca</v>
      </c>
      <c r="H325" s="41"/>
      <c r="I325" s="41"/>
      <c r="J325" s="41"/>
      <c r="K325" s="41"/>
      <c r="L325" s="41"/>
      <c r="M325" s="41"/>
      <c r="N325" s="41"/>
      <c r="O325" s="41"/>
      <c r="P325" s="41"/>
      <c r="Q325" s="41"/>
      <c r="R325" s="41"/>
    </row>
    <row r="326" spans="1:18" x14ac:dyDescent="0.35">
      <c r="A326" s="41"/>
      <c r="B326" s="46" t="s">
        <v>12</v>
      </c>
      <c r="C326" s="57">
        <v>190214.92</v>
      </c>
      <c r="D326" s="41">
        <v>2021</v>
      </c>
      <c r="E326" s="41" t="s">
        <v>76</v>
      </c>
      <c r="F326" s="41" t="s">
        <v>48</v>
      </c>
      <c r="G326" s="48" t="str">
        <f>VLOOKUP(F326,$T$3:$U$12,2,0)</f>
        <v>Campeche</v>
      </c>
      <c r="H326" s="41"/>
      <c r="I326" s="41"/>
      <c r="J326" s="41"/>
      <c r="K326" s="41"/>
      <c r="L326" s="41"/>
      <c r="M326" s="41"/>
      <c r="N326" s="41"/>
      <c r="O326" s="41"/>
      <c r="P326" s="41"/>
      <c r="Q326" s="41"/>
      <c r="R326" s="41"/>
    </row>
    <row r="327" spans="1:18" x14ac:dyDescent="0.35">
      <c r="A327" s="41"/>
      <c r="B327" s="46" t="s">
        <v>13</v>
      </c>
      <c r="C327" s="57">
        <v>322743.15000000002</v>
      </c>
      <c r="D327" s="41">
        <v>2021</v>
      </c>
      <c r="E327" s="41" t="s">
        <v>76</v>
      </c>
      <c r="F327" s="41" t="s">
        <v>48</v>
      </c>
      <c r="G327" s="48" t="str">
        <f t="shared" ref="G327:G342" si="8">VLOOKUP(F327,$T$3:$U$12,2,0)</f>
        <v>Campeche</v>
      </c>
      <c r="H327" s="41"/>
      <c r="I327" s="41"/>
      <c r="J327" s="41"/>
      <c r="K327" s="41"/>
      <c r="L327" s="41"/>
      <c r="M327" s="41"/>
      <c r="N327" s="41"/>
      <c r="O327" s="41"/>
      <c r="P327" s="41"/>
      <c r="Q327" s="41"/>
      <c r="R327" s="41"/>
    </row>
    <row r="328" spans="1:18" x14ac:dyDescent="0.35">
      <c r="A328" s="41"/>
      <c r="B328" s="46" t="s">
        <v>14</v>
      </c>
      <c r="C328" s="57">
        <v>347345.37000000011</v>
      </c>
      <c r="D328" s="41">
        <v>2021</v>
      </c>
      <c r="E328" s="41" t="s">
        <v>76</v>
      </c>
      <c r="F328" s="41" t="s">
        <v>48</v>
      </c>
      <c r="G328" s="48" t="str">
        <f t="shared" si="8"/>
        <v>Campeche</v>
      </c>
      <c r="H328" s="41"/>
      <c r="I328" s="41"/>
      <c r="J328" s="41"/>
      <c r="K328" s="41"/>
      <c r="L328" s="41"/>
      <c r="M328" s="41"/>
      <c r="N328" s="41"/>
      <c r="O328" s="41"/>
      <c r="P328" s="41"/>
      <c r="Q328" s="41"/>
      <c r="R328" s="41"/>
    </row>
    <row r="329" spans="1:18" x14ac:dyDescent="0.35">
      <c r="A329" s="41"/>
      <c r="B329" s="46" t="s">
        <v>15</v>
      </c>
      <c r="C329" s="57">
        <v>192448.25999999989</v>
      </c>
      <c r="D329" s="41">
        <v>2021</v>
      </c>
      <c r="E329" s="41" t="s">
        <v>76</v>
      </c>
      <c r="F329" s="41" t="s">
        <v>48</v>
      </c>
      <c r="G329" s="48" t="str">
        <f t="shared" si="8"/>
        <v>Campeche</v>
      </c>
      <c r="H329" s="41"/>
      <c r="I329" s="41"/>
      <c r="J329" s="41"/>
      <c r="K329" s="41"/>
      <c r="L329" s="41"/>
      <c r="M329" s="41"/>
      <c r="N329" s="41"/>
      <c r="O329" s="41"/>
      <c r="P329" s="41"/>
      <c r="Q329" s="41"/>
      <c r="R329" s="41"/>
    </row>
    <row r="330" spans="1:18" x14ac:dyDescent="0.35">
      <c r="A330" s="41"/>
      <c r="B330" s="46" t="s">
        <v>16</v>
      </c>
      <c r="C330" s="57">
        <v>229181.33199999994</v>
      </c>
      <c r="D330" s="41">
        <v>2021</v>
      </c>
      <c r="E330" s="41" t="s">
        <v>76</v>
      </c>
      <c r="F330" s="41" t="s">
        <v>48</v>
      </c>
      <c r="G330" s="48" t="str">
        <f t="shared" si="8"/>
        <v>Campeche</v>
      </c>
      <c r="H330" s="41"/>
      <c r="I330" s="41"/>
      <c r="J330" s="41"/>
      <c r="K330" s="41"/>
      <c r="L330" s="41"/>
      <c r="M330" s="41"/>
      <c r="N330" s="41"/>
      <c r="O330" s="41"/>
      <c r="P330" s="41"/>
      <c r="Q330" s="41"/>
      <c r="R330" s="41"/>
    </row>
    <row r="331" spans="1:18" x14ac:dyDescent="0.35">
      <c r="A331" s="41"/>
      <c r="B331" s="46" t="s">
        <v>17</v>
      </c>
      <c r="C331" s="57">
        <v>316773.57719999948</v>
      </c>
      <c r="D331" s="41">
        <v>2021</v>
      </c>
      <c r="E331" s="41" t="s">
        <v>76</v>
      </c>
      <c r="F331" s="41" t="s">
        <v>48</v>
      </c>
      <c r="G331" s="48" t="str">
        <f t="shared" si="8"/>
        <v>Campeche</v>
      </c>
      <c r="H331" s="41"/>
      <c r="I331" s="41"/>
      <c r="J331" s="41"/>
      <c r="K331" s="41"/>
      <c r="L331" s="41"/>
      <c r="M331" s="41"/>
      <c r="N331" s="41"/>
      <c r="O331" s="41"/>
      <c r="P331" s="41"/>
      <c r="Q331" s="41"/>
      <c r="R331" s="41"/>
    </row>
    <row r="332" spans="1:18" x14ac:dyDescent="0.35">
      <c r="A332" s="41"/>
      <c r="B332" s="46" t="s">
        <v>18</v>
      </c>
      <c r="C332" s="57">
        <v>324536.48279999848</v>
      </c>
      <c r="D332" s="41">
        <v>2021</v>
      </c>
      <c r="E332" s="41" t="s">
        <v>76</v>
      </c>
      <c r="F332" s="41" t="s">
        <v>48</v>
      </c>
      <c r="G332" s="48" t="str">
        <f t="shared" si="8"/>
        <v>Campeche</v>
      </c>
      <c r="H332" s="41"/>
      <c r="I332" s="41"/>
      <c r="J332" s="41"/>
      <c r="K332" s="41"/>
      <c r="L332" s="41"/>
      <c r="M332" s="41"/>
      <c r="N332" s="41"/>
      <c r="O332" s="41"/>
      <c r="P332" s="41"/>
      <c r="Q332" s="41"/>
      <c r="R332" s="41"/>
    </row>
    <row r="333" spans="1:18" x14ac:dyDescent="0.35">
      <c r="A333" s="41"/>
      <c r="B333" s="46" t="s">
        <v>19</v>
      </c>
      <c r="C333" s="57">
        <v>422614.69159999792</v>
      </c>
      <c r="D333" s="41">
        <v>2021</v>
      </c>
      <c r="E333" s="41" t="s">
        <v>76</v>
      </c>
      <c r="F333" s="41" t="s">
        <v>48</v>
      </c>
      <c r="G333" s="48" t="str">
        <f t="shared" si="8"/>
        <v>Campeche</v>
      </c>
      <c r="H333" s="41"/>
      <c r="I333" s="41"/>
      <c r="J333" s="41"/>
      <c r="K333" s="41"/>
      <c r="L333" s="41"/>
      <c r="M333" s="41"/>
      <c r="N333" s="41"/>
      <c r="O333" s="41"/>
      <c r="P333" s="41"/>
      <c r="Q333" s="41"/>
      <c r="R333" s="41"/>
    </row>
    <row r="334" spans="1:18" x14ac:dyDescent="0.35">
      <c r="A334" s="41"/>
      <c r="B334" s="46" t="s">
        <v>20</v>
      </c>
      <c r="C334" s="57">
        <v>384783.68120000145</v>
      </c>
      <c r="D334" s="41">
        <v>2021</v>
      </c>
      <c r="E334" s="41" t="s">
        <v>76</v>
      </c>
      <c r="F334" s="41" t="s">
        <v>48</v>
      </c>
      <c r="G334" s="48" t="str">
        <f t="shared" si="8"/>
        <v>Campeche</v>
      </c>
      <c r="H334" s="41"/>
      <c r="I334" s="41"/>
      <c r="J334" s="41"/>
      <c r="K334" s="41"/>
      <c r="L334" s="41"/>
      <c r="M334" s="41"/>
      <c r="N334" s="41"/>
      <c r="O334" s="41"/>
      <c r="P334" s="41"/>
      <c r="Q334" s="41"/>
      <c r="R334" s="41"/>
    </row>
    <row r="335" spans="1:18" x14ac:dyDescent="0.35">
      <c r="A335" s="41"/>
      <c r="B335" s="46" t="s">
        <v>21</v>
      </c>
      <c r="C335" s="57">
        <v>210980.45200000002</v>
      </c>
      <c r="D335" s="41">
        <v>2021</v>
      </c>
      <c r="E335" s="41" t="s">
        <v>76</v>
      </c>
      <c r="F335" s="41" t="s">
        <v>48</v>
      </c>
      <c r="G335" s="48" t="str">
        <f t="shared" si="8"/>
        <v>Campeche</v>
      </c>
      <c r="H335" s="41"/>
      <c r="I335" s="41"/>
      <c r="J335" s="41"/>
      <c r="K335" s="41"/>
      <c r="L335" s="41"/>
      <c r="M335" s="41"/>
      <c r="N335" s="41"/>
      <c r="O335" s="41"/>
      <c r="P335" s="41"/>
      <c r="Q335" s="41"/>
      <c r="R335" s="41"/>
    </row>
    <row r="336" spans="1:18" x14ac:dyDescent="0.35">
      <c r="A336" s="41"/>
      <c r="B336" s="46" t="s">
        <v>22</v>
      </c>
      <c r="C336" s="57">
        <v>293474.80319999979</v>
      </c>
      <c r="D336" s="41">
        <v>2021</v>
      </c>
      <c r="E336" s="41" t="s">
        <v>76</v>
      </c>
      <c r="F336" s="41" t="s">
        <v>48</v>
      </c>
      <c r="G336" s="48" t="str">
        <f t="shared" si="8"/>
        <v>Campeche</v>
      </c>
      <c r="H336" s="41"/>
      <c r="I336" s="41"/>
      <c r="J336" s="41"/>
      <c r="K336" s="41"/>
      <c r="L336" s="41"/>
      <c r="M336" s="41"/>
      <c r="N336" s="41"/>
      <c r="O336" s="41"/>
      <c r="P336" s="41"/>
      <c r="Q336" s="41"/>
      <c r="R336" s="41"/>
    </row>
    <row r="337" spans="1:18" x14ac:dyDescent="0.35">
      <c r="A337" s="41"/>
      <c r="B337" s="46" t="s">
        <v>23</v>
      </c>
      <c r="C337" s="57">
        <v>320533.83320000034</v>
      </c>
      <c r="D337" s="41">
        <v>2021</v>
      </c>
      <c r="E337" s="41" t="s">
        <v>76</v>
      </c>
      <c r="F337" s="41" t="s">
        <v>48</v>
      </c>
      <c r="G337" s="48" t="str">
        <f t="shared" si="8"/>
        <v>Campeche</v>
      </c>
      <c r="H337" s="41"/>
      <c r="I337" s="41"/>
      <c r="J337" s="41"/>
      <c r="K337" s="41"/>
      <c r="L337" s="41"/>
      <c r="M337" s="41"/>
      <c r="N337" s="41"/>
      <c r="O337" s="41"/>
      <c r="P337" s="41"/>
      <c r="Q337" s="41"/>
      <c r="R337" s="41"/>
    </row>
    <row r="338" spans="1:18" x14ac:dyDescent="0.35">
      <c r="A338" s="41"/>
      <c r="B338" s="46" t="s">
        <v>12</v>
      </c>
      <c r="C338" s="57">
        <v>272528.52079999476</v>
      </c>
      <c r="D338" s="41">
        <v>2022</v>
      </c>
      <c r="E338" s="41" t="s">
        <v>76</v>
      </c>
      <c r="F338" s="41" t="s">
        <v>48</v>
      </c>
      <c r="G338" s="48" t="str">
        <f t="shared" si="8"/>
        <v>Campeche</v>
      </c>
      <c r="H338" s="41"/>
      <c r="I338" s="41"/>
      <c r="J338" s="41"/>
      <c r="K338" s="41"/>
      <c r="L338" s="41"/>
      <c r="M338" s="41"/>
      <c r="N338" s="41"/>
      <c r="O338" s="41"/>
      <c r="P338" s="41"/>
      <c r="Q338" s="41"/>
      <c r="R338" s="41"/>
    </row>
    <row r="339" spans="1:18" x14ac:dyDescent="0.35">
      <c r="A339" s="41"/>
      <c r="B339" s="46" t="s">
        <v>13</v>
      </c>
      <c r="C339" s="57">
        <v>371991.11999999691</v>
      </c>
      <c r="D339" s="41">
        <v>2022</v>
      </c>
      <c r="E339" s="41" t="s">
        <v>76</v>
      </c>
      <c r="F339" s="41" t="s">
        <v>48</v>
      </c>
      <c r="G339" s="48" t="str">
        <f t="shared" si="8"/>
        <v>Campeche</v>
      </c>
      <c r="H339" s="41"/>
      <c r="I339" s="41"/>
      <c r="J339" s="41"/>
      <c r="K339" s="41"/>
      <c r="L339" s="41"/>
      <c r="M339" s="41"/>
      <c r="N339" s="41"/>
      <c r="O339" s="41"/>
      <c r="P339" s="41"/>
      <c r="Q339" s="41"/>
      <c r="R339" s="41"/>
    </row>
    <row r="340" spans="1:18" x14ac:dyDescent="0.35">
      <c r="A340" s="41"/>
      <c r="B340" s="46" t="s">
        <v>14</v>
      </c>
      <c r="C340" s="57">
        <v>334562.55999999738</v>
      </c>
      <c r="D340" s="41">
        <v>2022</v>
      </c>
      <c r="E340" s="41" t="s">
        <v>76</v>
      </c>
      <c r="F340" s="41" t="s">
        <v>48</v>
      </c>
      <c r="G340" s="48" t="str">
        <f t="shared" si="8"/>
        <v>Campeche</v>
      </c>
      <c r="H340" s="41"/>
      <c r="I340" s="41"/>
      <c r="J340" s="41"/>
      <c r="K340" s="41"/>
      <c r="L340" s="41"/>
      <c r="M340" s="41"/>
      <c r="N340" s="41"/>
      <c r="O340" s="41"/>
      <c r="P340" s="41"/>
      <c r="Q340" s="41"/>
      <c r="R340" s="41"/>
    </row>
    <row r="341" spans="1:18" x14ac:dyDescent="0.35">
      <c r="A341" s="41"/>
      <c r="B341" s="46" t="s">
        <v>15</v>
      </c>
      <c r="C341" s="57">
        <v>928750.5200000247</v>
      </c>
      <c r="D341" s="41">
        <v>2022</v>
      </c>
      <c r="E341" s="41" t="s">
        <v>76</v>
      </c>
      <c r="F341" s="41" t="s">
        <v>48</v>
      </c>
      <c r="G341" s="48" t="str">
        <f t="shared" si="8"/>
        <v>Campeche</v>
      </c>
      <c r="H341" s="41"/>
      <c r="I341" s="41"/>
      <c r="J341" s="41"/>
      <c r="K341" s="41"/>
      <c r="L341" s="41"/>
      <c r="M341" s="41"/>
      <c r="N341" s="41"/>
      <c r="O341" s="41"/>
      <c r="P341" s="41"/>
      <c r="Q341" s="41"/>
      <c r="R341" s="41"/>
    </row>
    <row r="342" spans="1:18" x14ac:dyDescent="0.35">
      <c r="A342" s="41"/>
      <c r="B342" s="51" t="s">
        <v>16</v>
      </c>
      <c r="C342" s="58">
        <v>396855.70839999756</v>
      </c>
      <c r="D342" s="53">
        <v>2022</v>
      </c>
      <c r="E342" s="53" t="s">
        <v>76</v>
      </c>
      <c r="F342" s="53" t="s">
        <v>48</v>
      </c>
      <c r="G342" s="54" t="str">
        <f t="shared" si="8"/>
        <v>Campeche</v>
      </c>
      <c r="H342" s="41"/>
      <c r="I342" s="41"/>
      <c r="J342" s="41"/>
      <c r="K342" s="41"/>
      <c r="L342" s="41"/>
      <c r="M342" s="41"/>
      <c r="N342" s="41"/>
      <c r="O342" s="41"/>
      <c r="P342" s="41"/>
      <c r="Q342" s="41"/>
      <c r="R342" s="41"/>
    </row>
    <row r="343" spans="1:18" x14ac:dyDescent="0.35">
      <c r="A343" s="41"/>
      <c r="B343" s="46" t="s">
        <v>12</v>
      </c>
      <c r="C343" s="57">
        <v>288253.04000000004</v>
      </c>
      <c r="D343" s="41">
        <v>2021</v>
      </c>
      <c r="E343" s="41" t="s">
        <v>76</v>
      </c>
      <c r="F343" s="41" t="s">
        <v>49</v>
      </c>
      <c r="G343" s="48" t="str">
        <f t="shared" si="7"/>
        <v>Guerrero</v>
      </c>
      <c r="H343" s="41"/>
      <c r="I343" s="41"/>
      <c r="J343" s="41"/>
      <c r="K343" s="41"/>
      <c r="L343" s="41"/>
      <c r="M343" s="41"/>
      <c r="N343" s="41"/>
      <c r="O343" s="41"/>
      <c r="P343" s="41"/>
      <c r="Q343" s="41"/>
      <c r="R343" s="41"/>
    </row>
    <row r="344" spans="1:18" x14ac:dyDescent="0.35">
      <c r="A344" s="41"/>
      <c r="B344" s="46" t="s">
        <v>13</v>
      </c>
      <c r="C344" s="57">
        <v>315951.33000000013</v>
      </c>
      <c r="D344" s="41">
        <v>2021</v>
      </c>
      <c r="E344" s="41" t="s">
        <v>76</v>
      </c>
      <c r="F344" s="41" t="s">
        <v>49</v>
      </c>
      <c r="G344" s="48" t="str">
        <f t="shared" si="7"/>
        <v>Guerrero</v>
      </c>
      <c r="H344" s="41"/>
      <c r="I344" s="41"/>
      <c r="J344" s="41"/>
      <c r="K344" s="41"/>
      <c r="L344" s="41"/>
      <c r="M344" s="41"/>
      <c r="N344" s="41"/>
      <c r="O344" s="41"/>
      <c r="P344" s="41"/>
      <c r="Q344" s="41"/>
      <c r="R344" s="41"/>
    </row>
    <row r="345" spans="1:18" x14ac:dyDescent="0.35">
      <c r="A345" s="41"/>
      <c r="B345" s="46" t="s">
        <v>14</v>
      </c>
      <c r="C345" s="57">
        <v>355311.48000000004</v>
      </c>
      <c r="D345" s="41">
        <v>2021</v>
      </c>
      <c r="E345" s="41" t="s">
        <v>76</v>
      </c>
      <c r="F345" s="41" t="s">
        <v>49</v>
      </c>
      <c r="G345" s="48" t="str">
        <f t="shared" si="7"/>
        <v>Guerrero</v>
      </c>
      <c r="H345" s="41"/>
      <c r="I345" s="41"/>
      <c r="J345" s="41"/>
      <c r="K345" s="41"/>
      <c r="L345" s="41"/>
      <c r="M345" s="41"/>
      <c r="N345" s="41"/>
      <c r="O345" s="41"/>
      <c r="P345" s="41"/>
      <c r="Q345" s="41"/>
      <c r="R345" s="41"/>
    </row>
    <row r="346" spans="1:18" x14ac:dyDescent="0.35">
      <c r="A346" s="41"/>
      <c r="B346" s="46" t="s">
        <v>15</v>
      </c>
      <c r="C346" s="57">
        <v>311099.81999999995</v>
      </c>
      <c r="D346" s="41">
        <v>2021</v>
      </c>
      <c r="E346" s="41" t="s">
        <v>76</v>
      </c>
      <c r="F346" s="41" t="s">
        <v>49</v>
      </c>
      <c r="G346" s="48" t="str">
        <f t="shared" si="7"/>
        <v>Guerrero</v>
      </c>
      <c r="H346" s="41"/>
      <c r="I346" s="41"/>
      <c r="J346" s="41"/>
      <c r="K346" s="41"/>
      <c r="L346" s="41"/>
      <c r="M346" s="41"/>
      <c r="N346" s="41"/>
      <c r="O346" s="41"/>
      <c r="P346" s="41"/>
      <c r="Q346" s="41"/>
      <c r="R346" s="41"/>
    </row>
    <row r="347" spans="1:18" x14ac:dyDescent="0.35">
      <c r="A347" s="41"/>
      <c r="B347" s="46" t="s">
        <v>16</v>
      </c>
      <c r="C347" s="57">
        <v>243924.22400000005</v>
      </c>
      <c r="D347" s="41">
        <v>2021</v>
      </c>
      <c r="E347" s="41" t="s">
        <v>76</v>
      </c>
      <c r="F347" s="41" t="s">
        <v>49</v>
      </c>
      <c r="G347" s="48" t="str">
        <f t="shared" si="7"/>
        <v>Guerrero</v>
      </c>
      <c r="H347" s="41"/>
      <c r="I347" s="41"/>
      <c r="J347" s="41"/>
      <c r="K347" s="41"/>
      <c r="L347" s="41"/>
      <c r="M347" s="41"/>
      <c r="N347" s="41"/>
      <c r="O347" s="41"/>
      <c r="P347" s="41"/>
      <c r="Q347" s="41"/>
      <c r="R347" s="41"/>
    </row>
    <row r="348" spans="1:18" x14ac:dyDescent="0.35">
      <c r="A348" s="41"/>
      <c r="B348" s="46" t="s">
        <v>17</v>
      </c>
      <c r="C348" s="57">
        <v>281956.55999999965</v>
      </c>
      <c r="D348" s="41">
        <v>2021</v>
      </c>
      <c r="E348" s="41" t="s">
        <v>76</v>
      </c>
      <c r="F348" s="41" t="s">
        <v>49</v>
      </c>
      <c r="G348" s="48" t="str">
        <f t="shared" si="7"/>
        <v>Guerrero</v>
      </c>
      <c r="H348" s="41"/>
      <c r="I348" s="41"/>
      <c r="J348" s="41"/>
      <c r="K348" s="41"/>
      <c r="L348" s="41"/>
      <c r="M348" s="41"/>
      <c r="N348" s="41"/>
      <c r="O348" s="41"/>
      <c r="P348" s="41"/>
      <c r="Q348" s="41"/>
      <c r="R348" s="41"/>
    </row>
    <row r="349" spans="1:18" x14ac:dyDescent="0.35">
      <c r="A349" s="41"/>
      <c r="B349" s="46" t="s">
        <v>18</v>
      </c>
      <c r="C349" s="57">
        <v>390993.65999999712</v>
      </c>
      <c r="D349" s="41">
        <v>2021</v>
      </c>
      <c r="E349" s="41" t="s">
        <v>76</v>
      </c>
      <c r="F349" s="41" t="s">
        <v>49</v>
      </c>
      <c r="G349" s="48" t="str">
        <f t="shared" si="7"/>
        <v>Guerrero</v>
      </c>
      <c r="H349" s="41"/>
      <c r="I349" s="41"/>
      <c r="J349" s="41"/>
      <c r="K349" s="41"/>
      <c r="L349" s="41"/>
      <c r="M349" s="41"/>
      <c r="N349" s="41"/>
      <c r="O349" s="41"/>
      <c r="P349" s="41"/>
      <c r="Q349" s="41"/>
      <c r="R349" s="41"/>
    </row>
    <row r="350" spans="1:18" x14ac:dyDescent="0.35">
      <c r="A350" s="41"/>
      <c r="B350" s="46" t="s">
        <v>19</v>
      </c>
      <c r="C350" s="57">
        <v>513736.15999999637</v>
      </c>
      <c r="D350" s="41">
        <v>2021</v>
      </c>
      <c r="E350" s="41" t="s">
        <v>76</v>
      </c>
      <c r="F350" s="41" t="s">
        <v>49</v>
      </c>
      <c r="G350" s="48" t="str">
        <f t="shared" si="7"/>
        <v>Guerrero</v>
      </c>
      <c r="H350" s="41"/>
      <c r="I350" s="41"/>
      <c r="J350" s="41"/>
      <c r="K350" s="41"/>
      <c r="L350" s="41"/>
      <c r="M350" s="41"/>
      <c r="N350" s="41"/>
      <c r="O350" s="41"/>
      <c r="P350" s="41"/>
      <c r="Q350" s="41"/>
      <c r="R350" s="41"/>
    </row>
    <row r="351" spans="1:18" x14ac:dyDescent="0.35">
      <c r="A351" s="41"/>
      <c r="B351" s="46" t="s">
        <v>20</v>
      </c>
      <c r="C351" s="57">
        <v>356233.6799999958</v>
      </c>
      <c r="D351" s="41">
        <v>2021</v>
      </c>
      <c r="E351" s="41" t="s">
        <v>76</v>
      </c>
      <c r="F351" s="41" t="s">
        <v>49</v>
      </c>
      <c r="G351" s="48" t="str">
        <f t="shared" si="7"/>
        <v>Guerrero</v>
      </c>
      <c r="H351" s="41"/>
      <c r="I351" s="41"/>
      <c r="J351" s="41"/>
      <c r="K351" s="41"/>
      <c r="L351" s="41"/>
      <c r="M351" s="41"/>
      <c r="N351" s="41"/>
      <c r="O351" s="41"/>
      <c r="P351" s="41"/>
      <c r="Q351" s="41"/>
      <c r="R351" s="41"/>
    </row>
    <row r="352" spans="1:18" x14ac:dyDescent="0.35">
      <c r="A352" s="41"/>
      <c r="B352" s="46" t="s">
        <v>21</v>
      </c>
      <c r="C352" s="57">
        <v>429839.15999999637</v>
      </c>
      <c r="D352" s="41">
        <v>2021</v>
      </c>
      <c r="E352" s="41" t="s">
        <v>76</v>
      </c>
      <c r="F352" s="41" t="s">
        <v>49</v>
      </c>
      <c r="G352" s="48" t="str">
        <f t="shared" si="7"/>
        <v>Guerrero</v>
      </c>
      <c r="H352" s="41"/>
      <c r="I352" s="41"/>
      <c r="J352" s="41"/>
      <c r="K352" s="41"/>
      <c r="L352" s="41"/>
      <c r="M352" s="41"/>
      <c r="N352" s="41"/>
      <c r="O352" s="41"/>
      <c r="P352" s="41"/>
      <c r="Q352" s="41"/>
      <c r="R352" s="41"/>
    </row>
    <row r="353" spans="1:18" x14ac:dyDescent="0.35">
      <c r="A353" s="41"/>
      <c r="B353" s="46" t="s">
        <v>22</v>
      </c>
      <c r="C353" s="57">
        <v>443910.53999998647</v>
      </c>
      <c r="D353" s="41">
        <v>2021</v>
      </c>
      <c r="E353" s="41" t="s">
        <v>76</v>
      </c>
      <c r="F353" s="41" t="s">
        <v>49</v>
      </c>
      <c r="G353" s="48" t="str">
        <f t="shared" si="7"/>
        <v>Guerrero</v>
      </c>
      <c r="H353" s="41"/>
      <c r="I353" s="41"/>
      <c r="J353" s="41"/>
      <c r="K353" s="41"/>
      <c r="L353" s="41"/>
      <c r="M353" s="41"/>
      <c r="N353" s="41"/>
      <c r="O353" s="41"/>
      <c r="P353" s="41"/>
      <c r="Q353" s="41"/>
      <c r="R353" s="41"/>
    </row>
    <row r="354" spans="1:18" x14ac:dyDescent="0.35">
      <c r="A354" s="41"/>
      <c r="B354" s="46" t="s">
        <v>23</v>
      </c>
      <c r="C354" s="57">
        <v>446777.4799999987</v>
      </c>
      <c r="D354" s="41">
        <v>2021</v>
      </c>
      <c r="E354" s="41" t="s">
        <v>76</v>
      </c>
      <c r="F354" s="41" t="s">
        <v>49</v>
      </c>
      <c r="G354" s="48" t="str">
        <f t="shared" si="7"/>
        <v>Guerrero</v>
      </c>
      <c r="H354" s="41"/>
      <c r="I354" s="41"/>
      <c r="J354" s="41"/>
      <c r="K354" s="41"/>
      <c r="L354" s="41"/>
      <c r="M354" s="41"/>
      <c r="N354" s="41"/>
      <c r="O354" s="41"/>
      <c r="P354" s="41"/>
      <c r="Q354" s="41"/>
      <c r="R354" s="41"/>
    </row>
    <row r="355" spans="1:18" x14ac:dyDescent="0.35">
      <c r="A355" s="41"/>
      <c r="B355" s="46" t="s">
        <v>12</v>
      </c>
      <c r="C355" s="57">
        <v>440268.71999999491</v>
      </c>
      <c r="D355" s="41">
        <v>2022</v>
      </c>
      <c r="E355" s="41" t="s">
        <v>76</v>
      </c>
      <c r="F355" s="41" t="s">
        <v>49</v>
      </c>
      <c r="G355" s="48" t="str">
        <f t="shared" si="7"/>
        <v>Guerrero</v>
      </c>
      <c r="H355" s="41"/>
      <c r="I355" s="41"/>
      <c r="J355" s="41"/>
      <c r="K355" s="41"/>
      <c r="L355" s="41"/>
      <c r="M355" s="41"/>
      <c r="N355" s="41"/>
      <c r="O355" s="41"/>
      <c r="P355" s="41"/>
      <c r="Q355" s="41"/>
      <c r="R355" s="41"/>
    </row>
    <row r="356" spans="1:18" x14ac:dyDescent="0.35">
      <c r="A356" s="41"/>
      <c r="B356" s="46" t="s">
        <v>13</v>
      </c>
      <c r="C356" s="57">
        <v>447073.27999999392</v>
      </c>
      <c r="D356" s="41">
        <v>2022</v>
      </c>
      <c r="E356" s="41" t="s">
        <v>76</v>
      </c>
      <c r="F356" s="41" t="s">
        <v>49</v>
      </c>
      <c r="G356" s="48" t="str">
        <f t="shared" si="7"/>
        <v>Guerrero</v>
      </c>
      <c r="H356" s="41"/>
      <c r="I356" s="41"/>
      <c r="J356" s="41"/>
      <c r="K356" s="41"/>
      <c r="L356" s="41"/>
      <c r="M356" s="41"/>
      <c r="N356" s="41"/>
      <c r="O356" s="41"/>
      <c r="P356" s="41"/>
      <c r="Q356" s="41"/>
      <c r="R356" s="41"/>
    </row>
    <row r="357" spans="1:18" x14ac:dyDescent="0.35">
      <c r="A357" s="41"/>
      <c r="B357" s="46" t="s">
        <v>14</v>
      </c>
      <c r="C357" s="57">
        <v>510054.31999999366</v>
      </c>
      <c r="D357" s="41">
        <v>2022</v>
      </c>
      <c r="E357" s="41" t="s">
        <v>76</v>
      </c>
      <c r="F357" s="41" t="s">
        <v>49</v>
      </c>
      <c r="G357" s="48" t="str">
        <f t="shared" si="7"/>
        <v>Guerrero</v>
      </c>
      <c r="H357" s="41"/>
      <c r="I357" s="41"/>
      <c r="J357" s="41"/>
      <c r="K357" s="41"/>
      <c r="L357" s="41"/>
      <c r="M357" s="41"/>
      <c r="N357" s="41"/>
      <c r="O357" s="41"/>
      <c r="P357" s="41"/>
      <c r="Q357" s="41"/>
      <c r="R357" s="41"/>
    </row>
    <row r="358" spans="1:18" x14ac:dyDescent="0.35">
      <c r="A358" s="41"/>
      <c r="B358" s="46" t="s">
        <v>15</v>
      </c>
      <c r="C358" s="57">
        <v>511038.00000000629</v>
      </c>
      <c r="D358" s="41">
        <v>2022</v>
      </c>
      <c r="E358" s="41" t="s">
        <v>76</v>
      </c>
      <c r="F358" s="41" t="s">
        <v>49</v>
      </c>
      <c r="G358" s="48" t="str">
        <f t="shared" si="7"/>
        <v>Guerrero</v>
      </c>
      <c r="H358" s="41"/>
      <c r="I358" s="41"/>
      <c r="J358" s="41"/>
      <c r="K358" s="41"/>
      <c r="L358" s="41"/>
      <c r="M358" s="41"/>
      <c r="N358" s="41"/>
      <c r="O358" s="41"/>
      <c r="P358" s="41"/>
      <c r="Q358" s="41"/>
      <c r="R358" s="41"/>
    </row>
    <row r="359" spans="1:18" x14ac:dyDescent="0.35">
      <c r="A359" s="41"/>
      <c r="B359" s="51" t="s">
        <v>16</v>
      </c>
      <c r="C359" s="58">
        <v>413671.07999999466</v>
      </c>
      <c r="D359" s="53">
        <v>2022</v>
      </c>
      <c r="E359" s="53" t="s">
        <v>76</v>
      </c>
      <c r="F359" s="53" t="s">
        <v>49</v>
      </c>
      <c r="G359" s="54" t="str">
        <f t="shared" si="7"/>
        <v>Guerrero</v>
      </c>
      <c r="H359" s="41"/>
      <c r="I359" s="41"/>
      <c r="J359" s="41"/>
      <c r="K359" s="41"/>
      <c r="L359" s="41"/>
      <c r="M359" s="41"/>
      <c r="N359" s="41"/>
      <c r="O359" s="41"/>
      <c r="P359" s="41"/>
      <c r="Q359" s="41"/>
      <c r="R359" s="41"/>
    </row>
    <row r="360" spans="1:18" x14ac:dyDescent="0.35">
      <c r="A360" s="41"/>
      <c r="B360" s="46" t="s">
        <v>12</v>
      </c>
      <c r="C360" s="57">
        <v>713798</v>
      </c>
      <c r="D360" s="41">
        <v>2021</v>
      </c>
      <c r="E360" s="41" t="s">
        <v>76</v>
      </c>
      <c r="F360" s="41" t="s">
        <v>50</v>
      </c>
      <c r="G360" s="48" t="str">
        <f t="shared" si="7"/>
        <v>Yucatán</v>
      </c>
      <c r="H360" s="41"/>
      <c r="I360" s="41"/>
      <c r="J360" s="41"/>
      <c r="K360" s="41"/>
      <c r="L360" s="41"/>
      <c r="M360" s="41"/>
      <c r="N360" s="41"/>
      <c r="O360" s="41"/>
      <c r="P360" s="41"/>
      <c r="Q360" s="41"/>
      <c r="R360" s="41"/>
    </row>
    <row r="361" spans="1:18" x14ac:dyDescent="0.35">
      <c r="A361" s="41"/>
      <c r="B361" s="46" t="s">
        <v>13</v>
      </c>
      <c r="C361" s="57">
        <v>910574.62999999989</v>
      </c>
      <c r="D361" s="41">
        <v>2021</v>
      </c>
      <c r="E361" s="41" t="s">
        <v>76</v>
      </c>
      <c r="F361" s="41" t="s">
        <v>50</v>
      </c>
      <c r="G361" s="48" t="str">
        <f t="shared" si="7"/>
        <v>Yucatán</v>
      </c>
      <c r="H361" s="41"/>
      <c r="I361" s="41"/>
      <c r="J361" s="41"/>
      <c r="K361" s="41"/>
      <c r="L361" s="41"/>
      <c r="M361" s="41"/>
      <c r="N361" s="41"/>
      <c r="O361" s="41"/>
      <c r="P361" s="41"/>
      <c r="Q361" s="41"/>
      <c r="R361" s="41"/>
    </row>
    <row r="362" spans="1:18" x14ac:dyDescent="0.35">
      <c r="A362" s="41"/>
      <c r="B362" s="46" t="s">
        <v>14</v>
      </c>
      <c r="C362" s="57">
        <v>1174987.3699999996</v>
      </c>
      <c r="D362" s="41">
        <v>2021</v>
      </c>
      <c r="E362" s="41" t="s">
        <v>76</v>
      </c>
      <c r="F362" s="41" t="s">
        <v>50</v>
      </c>
      <c r="G362" s="48" t="str">
        <f t="shared" si="7"/>
        <v>Yucatán</v>
      </c>
      <c r="H362" s="41"/>
      <c r="I362" s="41"/>
      <c r="J362" s="41"/>
      <c r="K362" s="41"/>
      <c r="L362" s="41"/>
      <c r="M362" s="41"/>
      <c r="N362" s="41"/>
      <c r="O362" s="41"/>
      <c r="P362" s="41"/>
      <c r="Q362" s="41"/>
      <c r="R362" s="41"/>
    </row>
    <row r="363" spans="1:18" x14ac:dyDescent="0.35">
      <c r="A363" s="41"/>
      <c r="B363" s="46" t="s">
        <v>15</v>
      </c>
      <c r="C363" s="57">
        <v>1029312.0799999998</v>
      </c>
      <c r="D363" s="41">
        <v>2021</v>
      </c>
      <c r="E363" s="41" t="s">
        <v>76</v>
      </c>
      <c r="F363" s="41" t="s">
        <v>50</v>
      </c>
      <c r="G363" s="48" t="str">
        <f t="shared" si="7"/>
        <v>Yucatán</v>
      </c>
      <c r="H363" s="41"/>
      <c r="I363" s="41"/>
      <c r="J363" s="41"/>
      <c r="K363" s="41"/>
      <c r="L363" s="41"/>
      <c r="M363" s="41"/>
      <c r="N363" s="41"/>
      <c r="O363" s="41"/>
      <c r="P363" s="41"/>
      <c r="Q363" s="41"/>
      <c r="R363" s="41"/>
    </row>
    <row r="364" spans="1:18" x14ac:dyDescent="0.35">
      <c r="A364" s="41"/>
      <c r="B364" s="46" t="s">
        <v>16</v>
      </c>
      <c r="C364" s="57">
        <v>1136810.6743999999</v>
      </c>
      <c r="D364" s="41">
        <v>2021</v>
      </c>
      <c r="E364" s="41" t="s">
        <v>76</v>
      </c>
      <c r="F364" s="41" t="s">
        <v>50</v>
      </c>
      <c r="G364" s="48" t="str">
        <f t="shared" si="7"/>
        <v>Yucatán</v>
      </c>
      <c r="H364" s="41"/>
      <c r="I364" s="41"/>
      <c r="J364" s="41"/>
      <c r="K364" s="41"/>
      <c r="L364" s="41"/>
      <c r="M364" s="41"/>
      <c r="N364" s="41"/>
      <c r="O364" s="41"/>
      <c r="P364" s="41"/>
      <c r="Q364" s="41"/>
      <c r="R364" s="41"/>
    </row>
    <row r="365" spans="1:18" x14ac:dyDescent="0.35">
      <c r="A365" s="41"/>
      <c r="B365" s="46" t="s">
        <v>17</v>
      </c>
      <c r="C365" s="57">
        <v>1350911.7443999301</v>
      </c>
      <c r="D365" s="41">
        <v>2021</v>
      </c>
      <c r="E365" s="41" t="s">
        <v>76</v>
      </c>
      <c r="F365" s="41" t="s">
        <v>50</v>
      </c>
      <c r="G365" s="48" t="str">
        <f t="shared" si="7"/>
        <v>Yucatán</v>
      </c>
      <c r="H365" s="41"/>
      <c r="I365" s="41"/>
      <c r="J365" s="41"/>
      <c r="K365" s="41"/>
      <c r="L365" s="41"/>
      <c r="M365" s="41"/>
      <c r="N365" s="41"/>
      <c r="O365" s="41"/>
      <c r="P365" s="41"/>
      <c r="Q365" s="41"/>
      <c r="R365" s="41"/>
    </row>
    <row r="366" spans="1:18" x14ac:dyDescent="0.35">
      <c r="A366" s="41"/>
      <c r="B366" s="46" t="s">
        <v>18</v>
      </c>
      <c r="C366" s="57">
        <v>1380009.3699999179</v>
      </c>
      <c r="D366" s="41">
        <v>2021</v>
      </c>
      <c r="E366" s="41" t="s">
        <v>76</v>
      </c>
      <c r="F366" s="41" t="s">
        <v>50</v>
      </c>
      <c r="G366" s="48" t="str">
        <f t="shared" si="7"/>
        <v>Yucatán</v>
      </c>
      <c r="H366" s="41"/>
      <c r="I366" s="41"/>
      <c r="J366" s="41"/>
      <c r="K366" s="41"/>
      <c r="L366" s="41"/>
      <c r="M366" s="41"/>
      <c r="N366" s="41"/>
      <c r="O366" s="41"/>
      <c r="P366" s="41"/>
      <c r="Q366" s="41"/>
      <c r="R366" s="41"/>
    </row>
    <row r="367" spans="1:18" x14ac:dyDescent="0.35">
      <c r="A367" s="41"/>
      <c r="B367" s="46" t="s">
        <v>19</v>
      </c>
      <c r="C367" s="57">
        <v>1390789.4355999099</v>
      </c>
      <c r="D367" s="41">
        <v>2021</v>
      </c>
      <c r="E367" s="41" t="s">
        <v>76</v>
      </c>
      <c r="F367" s="41" t="s">
        <v>50</v>
      </c>
      <c r="G367" s="48" t="str">
        <f t="shared" si="7"/>
        <v>Yucatán</v>
      </c>
      <c r="H367" s="41"/>
      <c r="I367" s="41"/>
      <c r="J367" s="41"/>
      <c r="K367" s="41"/>
      <c r="L367" s="41"/>
      <c r="M367" s="41"/>
      <c r="N367" s="41"/>
      <c r="O367" s="41"/>
      <c r="P367" s="41"/>
      <c r="Q367" s="41"/>
      <c r="R367" s="41"/>
    </row>
    <row r="368" spans="1:18" x14ac:dyDescent="0.35">
      <c r="A368" s="41"/>
      <c r="B368" s="46" t="s">
        <v>20</v>
      </c>
      <c r="C368" s="57">
        <v>1265446.412799984</v>
      </c>
      <c r="D368" s="41">
        <v>2021</v>
      </c>
      <c r="E368" s="41" t="s">
        <v>76</v>
      </c>
      <c r="F368" s="41" t="s">
        <v>50</v>
      </c>
      <c r="G368" s="48" t="str">
        <f t="shared" si="7"/>
        <v>Yucatán</v>
      </c>
      <c r="H368" s="41"/>
      <c r="I368" s="41"/>
      <c r="J368" s="41"/>
      <c r="K368" s="41"/>
      <c r="L368" s="41"/>
      <c r="M368" s="41"/>
      <c r="N368" s="41"/>
      <c r="O368" s="41"/>
      <c r="P368" s="41"/>
      <c r="Q368" s="41"/>
      <c r="R368" s="41"/>
    </row>
    <row r="369" spans="1:18" x14ac:dyDescent="0.35">
      <c r="A369" s="41"/>
      <c r="B369" s="46" t="s">
        <v>21</v>
      </c>
      <c r="C369" s="57">
        <v>1294847.5639999676</v>
      </c>
      <c r="D369" s="41">
        <v>2021</v>
      </c>
      <c r="E369" s="41" t="s">
        <v>76</v>
      </c>
      <c r="F369" s="41" t="s">
        <v>50</v>
      </c>
      <c r="G369" s="48" t="str">
        <f t="shared" si="7"/>
        <v>Yucatán</v>
      </c>
      <c r="H369" s="41"/>
      <c r="I369" s="41"/>
      <c r="J369" s="41"/>
      <c r="K369" s="41"/>
      <c r="L369" s="41"/>
      <c r="M369" s="41"/>
      <c r="N369" s="41"/>
      <c r="O369" s="41"/>
      <c r="P369" s="41"/>
      <c r="Q369" s="41"/>
      <c r="R369" s="41"/>
    </row>
    <row r="370" spans="1:18" x14ac:dyDescent="0.35">
      <c r="A370" s="41"/>
      <c r="B370" s="46" t="s">
        <v>22</v>
      </c>
      <c r="C370" s="57">
        <v>1079626.8711999881</v>
      </c>
      <c r="D370" s="41">
        <v>2021</v>
      </c>
      <c r="E370" s="41" t="s">
        <v>76</v>
      </c>
      <c r="F370" s="41" t="s">
        <v>50</v>
      </c>
      <c r="G370" s="48" t="str">
        <f t="shared" si="7"/>
        <v>Yucatán</v>
      </c>
      <c r="H370" s="41"/>
      <c r="I370" s="41"/>
      <c r="J370" s="41"/>
      <c r="K370" s="41"/>
      <c r="L370" s="41"/>
      <c r="M370" s="41"/>
      <c r="N370" s="41"/>
      <c r="O370" s="41"/>
      <c r="P370" s="41"/>
      <c r="Q370" s="41"/>
      <c r="R370" s="41"/>
    </row>
    <row r="371" spans="1:18" x14ac:dyDescent="0.35">
      <c r="A371" s="41"/>
      <c r="B371" s="46" t="s">
        <v>23</v>
      </c>
      <c r="C371" s="57">
        <v>1436311.199599992</v>
      </c>
      <c r="D371" s="41">
        <v>2021</v>
      </c>
      <c r="E371" s="41" t="s">
        <v>76</v>
      </c>
      <c r="F371" s="41" t="s">
        <v>50</v>
      </c>
      <c r="G371" s="48" t="str">
        <f t="shared" si="7"/>
        <v>Yucatán</v>
      </c>
      <c r="H371" s="41"/>
      <c r="I371" s="41"/>
      <c r="J371" s="41"/>
      <c r="K371" s="41"/>
      <c r="L371" s="41"/>
      <c r="M371" s="41"/>
      <c r="N371" s="41"/>
      <c r="O371" s="41"/>
      <c r="P371" s="41"/>
      <c r="Q371" s="41"/>
      <c r="R371" s="41"/>
    </row>
    <row r="372" spans="1:18" x14ac:dyDescent="0.35">
      <c r="A372" s="41"/>
      <c r="B372" s="46" t="s">
        <v>12</v>
      </c>
      <c r="C372" s="57">
        <v>1148076.5803999756</v>
      </c>
      <c r="D372" s="41">
        <v>2022</v>
      </c>
      <c r="E372" s="41" t="s">
        <v>76</v>
      </c>
      <c r="F372" s="41" t="s">
        <v>50</v>
      </c>
      <c r="G372" s="48" t="str">
        <f t="shared" si="7"/>
        <v>Yucatán</v>
      </c>
      <c r="H372" s="41"/>
      <c r="I372" s="41"/>
      <c r="J372" s="41"/>
      <c r="K372" s="41"/>
      <c r="L372" s="41"/>
      <c r="M372" s="41"/>
      <c r="N372" s="41"/>
      <c r="O372" s="41"/>
      <c r="P372" s="41"/>
      <c r="Q372" s="41"/>
      <c r="R372" s="41"/>
    </row>
    <row r="373" spans="1:18" x14ac:dyDescent="0.35">
      <c r="A373" s="41"/>
      <c r="B373" s="46" t="s">
        <v>13</v>
      </c>
      <c r="C373" s="57">
        <v>1210657.1999999222</v>
      </c>
      <c r="D373" s="41">
        <v>2022</v>
      </c>
      <c r="E373" s="41" t="s">
        <v>76</v>
      </c>
      <c r="F373" s="41" t="s">
        <v>50</v>
      </c>
      <c r="G373" s="48" t="str">
        <f t="shared" si="7"/>
        <v>Yucatán</v>
      </c>
      <c r="H373" s="41"/>
      <c r="I373" s="41"/>
      <c r="J373" s="41"/>
      <c r="K373" s="41"/>
      <c r="L373" s="41"/>
      <c r="M373" s="41"/>
      <c r="N373" s="41"/>
      <c r="O373" s="41"/>
      <c r="P373" s="41"/>
      <c r="Q373" s="41"/>
      <c r="R373" s="41"/>
    </row>
    <row r="374" spans="1:18" x14ac:dyDescent="0.35">
      <c r="A374" s="41"/>
      <c r="B374" s="46" t="s">
        <v>14</v>
      </c>
      <c r="C374" s="57">
        <v>1298959.8799999389</v>
      </c>
      <c r="D374" s="41">
        <v>2022</v>
      </c>
      <c r="E374" s="41" t="s">
        <v>76</v>
      </c>
      <c r="F374" s="41" t="s">
        <v>50</v>
      </c>
      <c r="G374" s="48" t="str">
        <f t="shared" si="7"/>
        <v>Yucatán</v>
      </c>
      <c r="H374" s="41"/>
      <c r="I374" s="41"/>
      <c r="J374" s="41"/>
      <c r="K374" s="41"/>
      <c r="L374" s="41"/>
      <c r="M374" s="41"/>
      <c r="N374" s="41"/>
      <c r="O374" s="41"/>
      <c r="P374" s="41"/>
      <c r="Q374" s="41"/>
      <c r="R374" s="41"/>
    </row>
    <row r="375" spans="1:18" x14ac:dyDescent="0.35">
      <c r="A375" s="41"/>
      <c r="B375" s="46" t="s">
        <v>15</v>
      </c>
      <c r="C375" s="57">
        <v>1429204.679999901</v>
      </c>
      <c r="D375" s="41">
        <v>2022</v>
      </c>
      <c r="E375" s="41" t="s">
        <v>76</v>
      </c>
      <c r="F375" s="41" t="s">
        <v>50</v>
      </c>
      <c r="G375" s="48" t="str">
        <f t="shared" si="7"/>
        <v>Yucatán</v>
      </c>
      <c r="H375" s="41"/>
      <c r="I375" s="41"/>
      <c r="J375" s="41"/>
      <c r="K375" s="41"/>
      <c r="L375" s="41"/>
      <c r="M375" s="41"/>
      <c r="N375" s="41"/>
      <c r="O375" s="41"/>
      <c r="P375" s="41"/>
      <c r="Q375" s="41"/>
      <c r="R375" s="41"/>
    </row>
    <row r="376" spans="1:18" x14ac:dyDescent="0.35">
      <c r="A376" s="41"/>
      <c r="B376" s="51" t="s">
        <v>16</v>
      </c>
      <c r="C376" s="58">
        <v>805900.70839999057</v>
      </c>
      <c r="D376" s="53">
        <v>2022</v>
      </c>
      <c r="E376" s="53" t="s">
        <v>76</v>
      </c>
      <c r="F376" s="53" t="s">
        <v>50</v>
      </c>
      <c r="G376" s="54" t="str">
        <f t="shared" si="7"/>
        <v>Yucatán</v>
      </c>
      <c r="H376" s="41"/>
      <c r="I376" s="41"/>
      <c r="J376" s="41"/>
      <c r="K376" s="41"/>
      <c r="L376" s="41"/>
      <c r="M376" s="41"/>
      <c r="N376" s="41"/>
      <c r="O376" s="41"/>
      <c r="P376" s="41"/>
      <c r="Q376" s="41"/>
      <c r="R376" s="41"/>
    </row>
    <row r="377" spans="1:18" x14ac:dyDescent="0.35">
      <c r="A377" s="41"/>
      <c r="B377" s="46" t="s">
        <v>12</v>
      </c>
      <c r="C377" s="57">
        <v>1017337.6999999997</v>
      </c>
      <c r="D377" s="41">
        <v>2021</v>
      </c>
      <c r="E377" s="41" t="s">
        <v>76</v>
      </c>
      <c r="F377" s="41" t="s">
        <v>55</v>
      </c>
      <c r="G377" s="48" t="str">
        <f t="shared" si="7"/>
        <v>Veracruz</v>
      </c>
      <c r="H377" s="41"/>
      <c r="I377" s="41"/>
      <c r="J377" s="41"/>
      <c r="K377" s="41"/>
      <c r="L377" s="41"/>
      <c r="M377" s="41"/>
      <c r="N377" s="41"/>
      <c r="O377" s="41"/>
      <c r="P377" s="41"/>
      <c r="Q377" s="41"/>
      <c r="R377" s="41"/>
    </row>
    <row r="378" spans="1:18" x14ac:dyDescent="0.35">
      <c r="A378" s="41"/>
      <c r="B378" s="46" t="s">
        <v>13</v>
      </c>
      <c r="C378" s="57">
        <v>1438753.71</v>
      </c>
      <c r="D378" s="41">
        <v>2021</v>
      </c>
      <c r="E378" s="41" t="s">
        <v>76</v>
      </c>
      <c r="F378" s="41" t="s">
        <v>55</v>
      </c>
      <c r="G378" s="48" t="str">
        <f t="shared" si="7"/>
        <v>Veracruz</v>
      </c>
      <c r="H378" s="41"/>
      <c r="I378" s="41"/>
      <c r="J378" s="41"/>
      <c r="K378" s="41"/>
      <c r="L378" s="41"/>
      <c r="M378" s="41"/>
      <c r="N378" s="41"/>
      <c r="O378" s="41"/>
      <c r="P378" s="41"/>
      <c r="Q378" s="41"/>
      <c r="R378" s="41"/>
    </row>
    <row r="379" spans="1:18" x14ac:dyDescent="0.35">
      <c r="A379" s="41"/>
      <c r="B379" s="46" t="s">
        <v>14</v>
      </c>
      <c r="C379" s="57">
        <v>899281.87999999989</v>
      </c>
      <c r="D379" s="41">
        <v>2021</v>
      </c>
      <c r="E379" s="41" t="s">
        <v>76</v>
      </c>
      <c r="F379" s="41" t="s">
        <v>55</v>
      </c>
      <c r="G379" s="48" t="str">
        <f t="shared" si="7"/>
        <v>Veracruz</v>
      </c>
      <c r="H379" s="41"/>
      <c r="I379" s="41"/>
      <c r="J379" s="41"/>
      <c r="K379" s="41"/>
      <c r="L379" s="41"/>
      <c r="M379" s="41"/>
      <c r="N379" s="41"/>
      <c r="O379" s="41"/>
      <c r="P379" s="41"/>
      <c r="Q379" s="41"/>
      <c r="R379" s="41"/>
    </row>
    <row r="380" spans="1:18" x14ac:dyDescent="0.35">
      <c r="A380" s="41"/>
      <c r="B380" s="46" t="s">
        <v>15</v>
      </c>
      <c r="C380" s="57">
        <v>971814.35999999987</v>
      </c>
      <c r="D380" s="41">
        <v>2021</v>
      </c>
      <c r="E380" s="41" t="s">
        <v>76</v>
      </c>
      <c r="F380" s="41" t="s">
        <v>55</v>
      </c>
      <c r="G380" s="48" t="str">
        <f t="shared" si="7"/>
        <v>Veracruz</v>
      </c>
      <c r="H380" s="41"/>
      <c r="I380" s="41"/>
      <c r="J380" s="41"/>
      <c r="K380" s="41"/>
      <c r="L380" s="41"/>
      <c r="M380" s="41"/>
      <c r="N380" s="41"/>
      <c r="O380" s="41"/>
      <c r="P380" s="41"/>
      <c r="Q380" s="41"/>
      <c r="R380" s="41"/>
    </row>
    <row r="381" spans="1:18" x14ac:dyDescent="0.35">
      <c r="A381" s="41"/>
      <c r="B381" s="46" t="s">
        <v>16</v>
      </c>
      <c r="C381" s="57">
        <v>827921.0051999999</v>
      </c>
      <c r="D381" s="41">
        <v>2021</v>
      </c>
      <c r="E381" s="41" t="s">
        <v>76</v>
      </c>
      <c r="F381" s="41" t="s">
        <v>55</v>
      </c>
      <c r="G381" s="48" t="str">
        <f t="shared" si="7"/>
        <v>Veracruz</v>
      </c>
      <c r="H381" s="41"/>
      <c r="I381" s="41"/>
      <c r="J381" s="41"/>
      <c r="K381" s="41"/>
      <c r="L381" s="41"/>
      <c r="M381" s="41"/>
      <c r="N381" s="41"/>
      <c r="O381" s="41"/>
      <c r="P381" s="41"/>
      <c r="Q381" s="41"/>
      <c r="R381" s="41"/>
    </row>
    <row r="382" spans="1:18" x14ac:dyDescent="0.35">
      <c r="A382" s="41"/>
      <c r="B382" s="46" t="s">
        <v>17</v>
      </c>
      <c r="C382" s="57">
        <v>703688.48000000173</v>
      </c>
      <c r="D382" s="41">
        <v>2021</v>
      </c>
      <c r="E382" s="41" t="s">
        <v>76</v>
      </c>
      <c r="F382" s="41" t="s">
        <v>55</v>
      </c>
      <c r="G382" s="48" t="str">
        <f t="shared" si="7"/>
        <v>Veracruz</v>
      </c>
      <c r="H382" s="41"/>
      <c r="I382" s="41"/>
      <c r="J382" s="41"/>
      <c r="K382" s="41"/>
      <c r="L382" s="41"/>
      <c r="M382" s="41"/>
      <c r="N382" s="41"/>
      <c r="O382" s="41"/>
      <c r="P382" s="41"/>
      <c r="Q382" s="41"/>
      <c r="R382" s="41"/>
    </row>
    <row r="383" spans="1:18" x14ac:dyDescent="0.35">
      <c r="A383" s="41"/>
      <c r="B383" s="46" t="s">
        <v>18</v>
      </c>
      <c r="C383" s="57">
        <v>945548.47999999183</v>
      </c>
      <c r="D383" s="41">
        <v>2021</v>
      </c>
      <c r="E383" s="41" t="s">
        <v>76</v>
      </c>
      <c r="F383" s="41" t="s">
        <v>55</v>
      </c>
      <c r="G383" s="48" t="str">
        <f t="shared" si="7"/>
        <v>Veracruz</v>
      </c>
      <c r="H383" s="41"/>
      <c r="I383" s="41"/>
      <c r="J383" s="41"/>
      <c r="K383" s="41"/>
      <c r="L383" s="41"/>
      <c r="M383" s="41"/>
      <c r="N383" s="41"/>
      <c r="O383" s="41"/>
      <c r="P383" s="41"/>
      <c r="Q383" s="41"/>
      <c r="R383" s="41"/>
    </row>
    <row r="384" spans="1:18" x14ac:dyDescent="0.35">
      <c r="A384" s="41"/>
      <c r="B384" s="46" t="s">
        <v>19</v>
      </c>
      <c r="C384" s="57">
        <v>950363.63999998814</v>
      </c>
      <c r="D384" s="41">
        <v>2021</v>
      </c>
      <c r="E384" s="41" t="s">
        <v>76</v>
      </c>
      <c r="F384" s="41" t="s">
        <v>55</v>
      </c>
      <c r="G384" s="48" t="str">
        <f t="shared" si="7"/>
        <v>Veracruz</v>
      </c>
      <c r="H384" s="41"/>
      <c r="I384" s="41"/>
      <c r="J384" s="41"/>
      <c r="K384" s="41"/>
      <c r="L384" s="41"/>
      <c r="M384" s="41"/>
      <c r="N384" s="41"/>
      <c r="O384" s="41"/>
      <c r="P384" s="41"/>
      <c r="Q384" s="41"/>
      <c r="R384" s="41"/>
    </row>
    <row r="385" spans="1:18" x14ac:dyDescent="0.35">
      <c r="A385" s="41"/>
      <c r="B385" s="46" t="s">
        <v>20</v>
      </c>
      <c r="C385" s="57">
        <v>736677.02400000393</v>
      </c>
      <c r="D385" s="41">
        <v>2021</v>
      </c>
      <c r="E385" s="41" t="s">
        <v>76</v>
      </c>
      <c r="F385" s="41" t="s">
        <v>55</v>
      </c>
      <c r="G385" s="48" t="str">
        <f t="shared" si="7"/>
        <v>Veracruz</v>
      </c>
      <c r="H385" s="41"/>
      <c r="I385" s="41"/>
      <c r="J385" s="41"/>
      <c r="K385" s="41"/>
      <c r="L385" s="41"/>
      <c r="M385" s="41"/>
      <c r="N385" s="41"/>
      <c r="O385" s="41"/>
      <c r="P385" s="41"/>
      <c r="Q385" s="41"/>
      <c r="R385" s="41"/>
    </row>
    <row r="386" spans="1:18" x14ac:dyDescent="0.35">
      <c r="A386" s="41"/>
      <c r="B386" s="46" t="s">
        <v>21</v>
      </c>
      <c r="C386" s="57">
        <v>827505.256000016</v>
      </c>
      <c r="D386" s="41">
        <v>2021</v>
      </c>
      <c r="E386" s="41" t="s">
        <v>76</v>
      </c>
      <c r="F386" s="41" t="s">
        <v>55</v>
      </c>
      <c r="G386" s="48" t="str">
        <f t="shared" si="7"/>
        <v>Veracruz</v>
      </c>
      <c r="H386" s="41"/>
      <c r="I386" s="41"/>
      <c r="J386" s="41"/>
      <c r="K386" s="41"/>
      <c r="L386" s="41"/>
      <c r="M386" s="41"/>
      <c r="N386" s="41"/>
      <c r="O386" s="41"/>
      <c r="P386" s="41"/>
      <c r="Q386" s="41"/>
      <c r="R386" s="41"/>
    </row>
    <row r="387" spans="1:18" x14ac:dyDescent="0.35">
      <c r="A387" s="41"/>
      <c r="B387" s="46" t="s">
        <v>22</v>
      </c>
      <c r="C387" s="57">
        <v>713213.24000000604</v>
      </c>
      <c r="D387" s="41">
        <v>2021</v>
      </c>
      <c r="E387" s="41" t="s">
        <v>76</v>
      </c>
      <c r="F387" s="41" t="s">
        <v>55</v>
      </c>
      <c r="G387" s="48" t="str">
        <f t="shared" ref="G387:G450" si="9">VLOOKUP(F387,$T$3:$U$11,2,0)</f>
        <v>Veracruz</v>
      </c>
      <c r="H387" s="41"/>
      <c r="I387" s="41"/>
      <c r="J387" s="41"/>
      <c r="K387" s="41"/>
      <c r="L387" s="41"/>
      <c r="M387" s="41"/>
      <c r="N387" s="41"/>
      <c r="O387" s="41"/>
      <c r="P387" s="41"/>
      <c r="Q387" s="41"/>
      <c r="R387" s="41"/>
    </row>
    <row r="388" spans="1:18" x14ac:dyDescent="0.35">
      <c r="A388" s="41"/>
      <c r="B388" s="46" t="s">
        <v>23</v>
      </c>
      <c r="C388" s="57">
        <v>762604.88000000012</v>
      </c>
      <c r="D388" s="41">
        <v>2021</v>
      </c>
      <c r="E388" s="41" t="s">
        <v>76</v>
      </c>
      <c r="F388" s="41" t="s">
        <v>55</v>
      </c>
      <c r="G388" s="48" t="str">
        <f t="shared" si="9"/>
        <v>Veracruz</v>
      </c>
      <c r="H388" s="41"/>
      <c r="I388" s="41"/>
      <c r="J388" s="41"/>
      <c r="K388" s="41"/>
      <c r="L388" s="41"/>
      <c r="M388" s="41"/>
      <c r="N388" s="41"/>
      <c r="O388" s="41"/>
      <c r="P388" s="41"/>
      <c r="Q388" s="41"/>
      <c r="R388" s="41"/>
    </row>
    <row r="389" spans="1:18" x14ac:dyDescent="0.35">
      <c r="A389" s="41"/>
      <c r="B389" s="46" t="s">
        <v>12</v>
      </c>
      <c r="C389" s="57">
        <v>803861.44000000402</v>
      </c>
      <c r="D389" s="41">
        <v>2022</v>
      </c>
      <c r="E389" s="41" t="s">
        <v>76</v>
      </c>
      <c r="F389" s="41" t="s">
        <v>55</v>
      </c>
      <c r="G389" s="48" t="str">
        <f t="shared" si="9"/>
        <v>Veracruz</v>
      </c>
      <c r="H389" s="41"/>
      <c r="I389" s="41"/>
      <c r="J389" s="41"/>
      <c r="K389" s="41"/>
      <c r="L389" s="41"/>
      <c r="M389" s="41"/>
      <c r="N389" s="41"/>
      <c r="O389" s="41"/>
      <c r="P389" s="41"/>
      <c r="Q389" s="41"/>
      <c r="R389" s="41"/>
    </row>
    <row r="390" spans="1:18" x14ac:dyDescent="0.35">
      <c r="A390" s="41"/>
      <c r="B390" s="46" t="s">
        <v>13</v>
      </c>
      <c r="C390" s="57">
        <v>774783.71999999916</v>
      </c>
      <c r="D390" s="41">
        <v>2022</v>
      </c>
      <c r="E390" s="41" t="s">
        <v>76</v>
      </c>
      <c r="F390" s="41" t="s">
        <v>55</v>
      </c>
      <c r="G390" s="48" t="str">
        <f t="shared" si="9"/>
        <v>Veracruz</v>
      </c>
      <c r="H390" s="41"/>
      <c r="I390" s="41"/>
      <c r="J390" s="41"/>
      <c r="K390" s="41"/>
      <c r="L390" s="41"/>
      <c r="M390" s="41"/>
      <c r="N390" s="41"/>
      <c r="O390" s="41"/>
      <c r="P390" s="41"/>
      <c r="Q390" s="41"/>
      <c r="R390" s="41"/>
    </row>
    <row r="391" spans="1:18" x14ac:dyDescent="0.35">
      <c r="A391" s="41"/>
      <c r="B391" s="46" t="s">
        <v>14</v>
      </c>
      <c r="C391" s="57">
        <v>891621.23999999627</v>
      </c>
      <c r="D391" s="41">
        <v>2022</v>
      </c>
      <c r="E391" s="41" t="s">
        <v>76</v>
      </c>
      <c r="F391" s="41" t="s">
        <v>55</v>
      </c>
      <c r="G391" s="48" t="str">
        <f t="shared" si="9"/>
        <v>Veracruz</v>
      </c>
      <c r="H391" s="41"/>
      <c r="I391" s="41"/>
      <c r="J391" s="41"/>
      <c r="K391" s="41"/>
      <c r="L391" s="41"/>
      <c r="M391" s="41"/>
      <c r="N391" s="41"/>
      <c r="O391" s="41"/>
      <c r="P391" s="41"/>
      <c r="Q391" s="41"/>
      <c r="R391" s="41"/>
    </row>
    <row r="392" spans="1:18" x14ac:dyDescent="0.35">
      <c r="A392" s="41"/>
      <c r="B392" s="46" t="s">
        <v>15</v>
      </c>
      <c r="C392" s="57">
        <v>976863.84000001696</v>
      </c>
      <c r="D392" s="41">
        <v>2022</v>
      </c>
      <c r="E392" s="41" t="s">
        <v>76</v>
      </c>
      <c r="F392" s="41" t="s">
        <v>55</v>
      </c>
      <c r="G392" s="48" t="str">
        <f t="shared" si="9"/>
        <v>Veracruz</v>
      </c>
      <c r="H392" s="41"/>
      <c r="I392" s="41"/>
      <c r="J392" s="41"/>
      <c r="K392" s="41"/>
      <c r="L392" s="41"/>
      <c r="M392" s="41"/>
      <c r="N392" s="41"/>
      <c r="O392" s="41"/>
      <c r="P392" s="41"/>
      <c r="Q392" s="41"/>
      <c r="R392" s="41"/>
    </row>
    <row r="393" spans="1:18" x14ac:dyDescent="0.35">
      <c r="A393" s="41"/>
      <c r="B393" s="51" t="s">
        <v>16</v>
      </c>
      <c r="C393" s="58">
        <v>783585.8115999928</v>
      </c>
      <c r="D393" s="53">
        <v>2022</v>
      </c>
      <c r="E393" s="53" t="s">
        <v>76</v>
      </c>
      <c r="F393" s="53" t="s">
        <v>55</v>
      </c>
      <c r="G393" s="54" t="str">
        <f t="shared" si="9"/>
        <v>Veracruz</v>
      </c>
      <c r="H393" s="41"/>
      <c r="I393" s="41"/>
      <c r="J393" s="41"/>
      <c r="K393" s="41"/>
      <c r="L393" s="41"/>
      <c r="M393" s="41"/>
      <c r="N393" s="41"/>
      <c r="O393" s="41"/>
      <c r="P393" s="41"/>
      <c r="Q393" s="41"/>
      <c r="R393" s="41"/>
    </row>
    <row r="394" spans="1:18" x14ac:dyDescent="0.35">
      <c r="A394" s="41"/>
      <c r="B394" s="46" t="s">
        <v>12</v>
      </c>
      <c r="C394" s="57">
        <v>641863.59999999939</v>
      </c>
      <c r="D394" s="41">
        <v>2021</v>
      </c>
      <c r="E394" s="41" t="s">
        <v>76</v>
      </c>
      <c r="F394" s="41" t="s">
        <v>51</v>
      </c>
      <c r="G394" s="48" t="str">
        <f t="shared" si="9"/>
        <v>Nuevo León</v>
      </c>
      <c r="H394" s="41"/>
      <c r="I394" s="41"/>
      <c r="J394" s="41"/>
      <c r="K394" s="41"/>
      <c r="L394" s="41"/>
      <c r="M394" s="41"/>
      <c r="N394" s="41"/>
      <c r="O394" s="41"/>
      <c r="P394" s="41"/>
      <c r="Q394" s="41"/>
      <c r="R394" s="41"/>
    </row>
    <row r="395" spans="1:18" x14ac:dyDescent="0.35">
      <c r="A395" s="41"/>
      <c r="B395" s="46" t="s">
        <v>13</v>
      </c>
      <c r="C395" s="57">
        <v>1005195.2395998116</v>
      </c>
      <c r="D395" s="41">
        <v>2021</v>
      </c>
      <c r="E395" s="41" t="s">
        <v>76</v>
      </c>
      <c r="F395" s="41" t="s">
        <v>51</v>
      </c>
      <c r="G395" s="48" t="str">
        <f t="shared" si="9"/>
        <v>Nuevo León</v>
      </c>
      <c r="H395" s="41"/>
      <c r="I395" s="41"/>
      <c r="J395" s="41"/>
      <c r="K395" s="41"/>
      <c r="L395" s="41"/>
      <c r="M395" s="41"/>
      <c r="N395" s="41"/>
      <c r="O395" s="41"/>
      <c r="P395" s="41"/>
      <c r="Q395" s="41"/>
      <c r="R395" s="41"/>
    </row>
    <row r="396" spans="1:18" x14ac:dyDescent="0.35">
      <c r="A396" s="41"/>
      <c r="B396" s="46" t="s">
        <v>14</v>
      </c>
      <c r="C396" s="57">
        <v>621895.7300000398</v>
      </c>
      <c r="D396" s="41">
        <v>2021</v>
      </c>
      <c r="E396" s="41" t="s">
        <v>76</v>
      </c>
      <c r="F396" s="41" t="s">
        <v>51</v>
      </c>
      <c r="G396" s="48" t="str">
        <f t="shared" si="9"/>
        <v>Nuevo León</v>
      </c>
      <c r="H396" s="41"/>
      <c r="I396" s="41"/>
      <c r="J396" s="41"/>
      <c r="K396" s="41"/>
      <c r="L396" s="41"/>
      <c r="M396" s="41"/>
      <c r="N396" s="41"/>
      <c r="O396" s="41"/>
      <c r="P396" s="41"/>
      <c r="Q396" s="41"/>
      <c r="R396" s="41"/>
    </row>
    <row r="397" spans="1:18" x14ac:dyDescent="0.35">
      <c r="A397" s="41"/>
      <c r="B397" s="46" t="s">
        <v>15</v>
      </c>
      <c r="C397" s="57">
        <v>1291159.7300000438</v>
      </c>
      <c r="D397" s="41">
        <v>2021</v>
      </c>
      <c r="E397" s="41" t="s">
        <v>76</v>
      </c>
      <c r="F397" s="41" t="s">
        <v>51</v>
      </c>
      <c r="G397" s="48" t="str">
        <f t="shared" si="9"/>
        <v>Nuevo León</v>
      </c>
      <c r="H397" s="41"/>
      <c r="I397" s="41"/>
      <c r="J397" s="41"/>
      <c r="K397" s="41"/>
      <c r="L397" s="41"/>
      <c r="M397" s="41"/>
      <c r="N397" s="41"/>
      <c r="O397" s="41"/>
      <c r="P397" s="41"/>
      <c r="Q397" s="41"/>
      <c r="R397" s="41"/>
    </row>
    <row r="398" spans="1:18" x14ac:dyDescent="0.35">
      <c r="A398" s="41"/>
      <c r="B398" s="46" t="s">
        <v>16</v>
      </c>
      <c r="C398" s="57">
        <v>1429141.3000000219</v>
      </c>
      <c r="D398" s="41">
        <v>2021</v>
      </c>
      <c r="E398" s="41" t="s">
        <v>76</v>
      </c>
      <c r="F398" s="41" t="s">
        <v>51</v>
      </c>
      <c r="G398" s="48" t="str">
        <f t="shared" si="9"/>
        <v>Nuevo León</v>
      </c>
      <c r="H398" s="41"/>
      <c r="I398" s="41"/>
      <c r="J398" s="41"/>
      <c r="K398" s="41"/>
      <c r="L398" s="41"/>
      <c r="M398" s="41"/>
      <c r="N398" s="41"/>
      <c r="O398" s="41"/>
      <c r="P398" s="41"/>
      <c r="Q398" s="41"/>
      <c r="R398" s="41"/>
    </row>
    <row r="399" spans="1:18" x14ac:dyDescent="0.35">
      <c r="A399" s="41"/>
      <c r="B399" s="46" t="s">
        <v>17</v>
      </c>
      <c r="C399" s="57">
        <v>1813016.223199975</v>
      </c>
      <c r="D399" s="41">
        <v>2021</v>
      </c>
      <c r="E399" s="41" t="s">
        <v>76</v>
      </c>
      <c r="F399" s="41" t="s">
        <v>51</v>
      </c>
      <c r="G399" s="48" t="str">
        <f t="shared" si="9"/>
        <v>Nuevo León</v>
      </c>
      <c r="H399" s="41"/>
      <c r="I399" s="41"/>
      <c r="J399" s="41"/>
      <c r="K399" s="41"/>
      <c r="L399" s="41"/>
      <c r="M399" s="41"/>
      <c r="N399" s="41"/>
      <c r="O399" s="41"/>
      <c r="P399" s="41"/>
      <c r="Q399" s="41"/>
      <c r="R399" s="41"/>
    </row>
    <row r="400" spans="1:18" x14ac:dyDescent="0.35">
      <c r="A400" s="41"/>
      <c r="B400" s="46" t="s">
        <v>18</v>
      </c>
      <c r="C400" s="57">
        <v>1667511.5999999689</v>
      </c>
      <c r="D400" s="41">
        <v>2021</v>
      </c>
      <c r="E400" s="41" t="s">
        <v>76</v>
      </c>
      <c r="F400" s="41" t="s">
        <v>51</v>
      </c>
      <c r="G400" s="48" t="str">
        <f t="shared" si="9"/>
        <v>Nuevo León</v>
      </c>
      <c r="H400" s="41"/>
      <c r="I400" s="41"/>
      <c r="J400" s="41"/>
      <c r="K400" s="41"/>
      <c r="L400" s="41"/>
      <c r="M400" s="41"/>
      <c r="N400" s="41"/>
      <c r="O400" s="41"/>
      <c r="P400" s="41"/>
      <c r="Q400" s="41"/>
      <c r="R400" s="41"/>
    </row>
    <row r="401" spans="1:18" x14ac:dyDescent="0.35">
      <c r="A401" s="41"/>
      <c r="B401" s="46" t="s">
        <v>19</v>
      </c>
      <c r="C401" s="57">
        <v>2074078.1091999488</v>
      </c>
      <c r="D401" s="41">
        <v>2021</v>
      </c>
      <c r="E401" s="41" t="s">
        <v>76</v>
      </c>
      <c r="F401" s="41" t="s">
        <v>51</v>
      </c>
      <c r="G401" s="48" t="str">
        <f t="shared" si="9"/>
        <v>Nuevo León</v>
      </c>
      <c r="H401" s="41"/>
      <c r="I401" s="41"/>
      <c r="J401" s="41"/>
      <c r="K401" s="41"/>
      <c r="L401" s="41"/>
      <c r="M401" s="41"/>
      <c r="N401" s="41"/>
      <c r="O401" s="41"/>
      <c r="P401" s="41"/>
      <c r="Q401" s="41"/>
      <c r="R401" s="41"/>
    </row>
    <row r="402" spans="1:18" x14ac:dyDescent="0.35">
      <c r="A402" s="41"/>
      <c r="B402" s="46" t="s">
        <v>20</v>
      </c>
      <c r="C402" s="57">
        <v>1684231.5615999887</v>
      </c>
      <c r="D402" s="41">
        <v>2021</v>
      </c>
      <c r="E402" s="41" t="s">
        <v>76</v>
      </c>
      <c r="F402" s="41" t="s">
        <v>51</v>
      </c>
      <c r="G402" s="48" t="str">
        <f t="shared" si="9"/>
        <v>Nuevo León</v>
      </c>
      <c r="H402" s="41"/>
      <c r="I402" s="41"/>
      <c r="J402" s="41"/>
      <c r="K402" s="41"/>
      <c r="L402" s="41"/>
      <c r="M402" s="41"/>
      <c r="N402" s="41"/>
      <c r="O402" s="41"/>
      <c r="P402" s="41"/>
      <c r="Q402" s="41"/>
      <c r="R402" s="41"/>
    </row>
    <row r="403" spans="1:18" x14ac:dyDescent="0.35">
      <c r="A403" s="41"/>
      <c r="B403" s="46" t="s">
        <v>21</v>
      </c>
      <c r="C403" s="57">
        <v>2030207.0367999617</v>
      </c>
      <c r="D403" s="41">
        <v>2021</v>
      </c>
      <c r="E403" s="41" t="s">
        <v>76</v>
      </c>
      <c r="F403" s="41" t="s">
        <v>51</v>
      </c>
      <c r="G403" s="48" t="str">
        <f t="shared" si="9"/>
        <v>Nuevo León</v>
      </c>
      <c r="H403" s="41"/>
      <c r="I403" s="41"/>
      <c r="J403" s="41"/>
      <c r="K403" s="41"/>
      <c r="L403" s="41"/>
      <c r="M403" s="41"/>
      <c r="N403" s="41"/>
      <c r="O403" s="41"/>
      <c r="P403" s="41"/>
      <c r="Q403" s="41"/>
      <c r="R403" s="41"/>
    </row>
    <row r="404" spans="1:18" x14ac:dyDescent="0.35">
      <c r="A404" s="41"/>
      <c r="B404" s="46" t="s">
        <v>22</v>
      </c>
      <c r="C404" s="57">
        <v>1997567.5136000011</v>
      </c>
      <c r="D404" s="41">
        <v>2021</v>
      </c>
      <c r="E404" s="41" t="s">
        <v>76</v>
      </c>
      <c r="F404" s="41" t="s">
        <v>51</v>
      </c>
      <c r="G404" s="48" t="str">
        <f t="shared" si="9"/>
        <v>Nuevo León</v>
      </c>
      <c r="H404" s="41"/>
      <c r="I404" s="41"/>
      <c r="J404" s="41"/>
      <c r="K404" s="41"/>
      <c r="L404" s="41"/>
      <c r="M404" s="41"/>
      <c r="N404" s="41"/>
      <c r="O404" s="41"/>
      <c r="P404" s="41"/>
      <c r="Q404" s="41"/>
      <c r="R404" s="41"/>
    </row>
    <row r="405" spans="1:18" x14ac:dyDescent="0.35">
      <c r="A405" s="41"/>
      <c r="B405" s="46" t="s">
        <v>23</v>
      </c>
      <c r="C405" s="57">
        <v>2208717.928799978</v>
      </c>
      <c r="D405" s="41">
        <v>2021</v>
      </c>
      <c r="E405" s="41" t="s">
        <v>76</v>
      </c>
      <c r="F405" s="41" t="s">
        <v>51</v>
      </c>
      <c r="G405" s="48" t="str">
        <f t="shared" si="9"/>
        <v>Nuevo León</v>
      </c>
      <c r="H405" s="41"/>
      <c r="I405" s="41"/>
      <c r="J405" s="41"/>
      <c r="K405" s="41"/>
      <c r="L405" s="41"/>
      <c r="M405" s="41"/>
      <c r="N405" s="41"/>
      <c r="O405" s="41"/>
      <c r="P405" s="41"/>
      <c r="Q405" s="41"/>
      <c r="R405" s="41"/>
    </row>
    <row r="406" spans="1:18" x14ac:dyDescent="0.35">
      <c r="A406" s="41"/>
      <c r="B406" s="46" t="s">
        <v>12</v>
      </c>
      <c r="C406" s="57">
        <v>1343748.1644000062</v>
      </c>
      <c r="D406" s="41">
        <v>2022</v>
      </c>
      <c r="E406" s="41" t="s">
        <v>76</v>
      </c>
      <c r="F406" s="41" t="s">
        <v>51</v>
      </c>
      <c r="G406" s="48" t="str">
        <f t="shared" si="9"/>
        <v>Nuevo León</v>
      </c>
      <c r="H406" s="41"/>
      <c r="I406" s="41"/>
      <c r="J406" s="41"/>
      <c r="K406" s="41"/>
      <c r="L406" s="41"/>
      <c r="M406" s="41"/>
      <c r="N406" s="41"/>
      <c r="O406" s="41"/>
      <c r="P406" s="41"/>
      <c r="Q406" s="41"/>
      <c r="R406" s="41"/>
    </row>
    <row r="407" spans="1:18" x14ac:dyDescent="0.35">
      <c r="A407" s="41"/>
      <c r="B407" s="46" t="s">
        <v>13</v>
      </c>
      <c r="C407" s="57">
        <v>1849258.6600000795</v>
      </c>
      <c r="D407" s="41">
        <v>2022</v>
      </c>
      <c r="E407" s="41" t="s">
        <v>76</v>
      </c>
      <c r="F407" s="41" t="s">
        <v>51</v>
      </c>
      <c r="G407" s="48" t="str">
        <f t="shared" si="9"/>
        <v>Nuevo León</v>
      </c>
      <c r="H407" s="41"/>
      <c r="I407" s="41"/>
      <c r="J407" s="41"/>
      <c r="K407" s="41"/>
      <c r="L407" s="41"/>
      <c r="M407" s="41"/>
      <c r="N407" s="41"/>
      <c r="O407" s="41"/>
      <c r="P407" s="41"/>
      <c r="Q407" s="41"/>
      <c r="R407" s="41"/>
    </row>
    <row r="408" spans="1:18" x14ac:dyDescent="0.35">
      <c r="A408" s="41"/>
      <c r="B408" s="46" t="s">
        <v>14</v>
      </c>
      <c r="C408" s="57">
        <v>2313994.680000111</v>
      </c>
      <c r="D408" s="41">
        <v>2022</v>
      </c>
      <c r="E408" s="41" t="s">
        <v>76</v>
      </c>
      <c r="F408" s="41" t="s">
        <v>51</v>
      </c>
      <c r="G408" s="48" t="str">
        <f t="shared" si="9"/>
        <v>Nuevo León</v>
      </c>
      <c r="H408" s="41"/>
      <c r="I408" s="41"/>
      <c r="J408" s="41"/>
      <c r="K408" s="41"/>
      <c r="L408" s="41"/>
      <c r="M408" s="41"/>
      <c r="N408" s="41"/>
      <c r="O408" s="41"/>
      <c r="P408" s="41"/>
      <c r="Q408" s="41"/>
      <c r="R408" s="41"/>
    </row>
    <row r="409" spans="1:18" x14ac:dyDescent="0.35">
      <c r="A409" s="41"/>
      <c r="B409" s="46" t="s">
        <v>15</v>
      </c>
      <c r="C409" s="57">
        <v>2548208.5400001034</v>
      </c>
      <c r="D409" s="41">
        <v>2022</v>
      </c>
      <c r="E409" s="41" t="s">
        <v>76</v>
      </c>
      <c r="F409" s="41" t="s">
        <v>51</v>
      </c>
      <c r="G409" s="48" t="str">
        <f t="shared" si="9"/>
        <v>Nuevo León</v>
      </c>
      <c r="H409" s="41"/>
      <c r="I409" s="41"/>
      <c r="J409" s="41"/>
      <c r="K409" s="41"/>
      <c r="L409" s="41"/>
      <c r="M409" s="41"/>
      <c r="N409" s="41"/>
      <c r="O409" s="41"/>
      <c r="P409" s="41"/>
      <c r="Q409" s="41"/>
      <c r="R409" s="41"/>
    </row>
    <row r="410" spans="1:18" x14ac:dyDescent="0.35">
      <c r="A410" s="41"/>
      <c r="B410" s="51" t="s">
        <v>16</v>
      </c>
      <c r="C410" s="58">
        <v>2242387.8800001061</v>
      </c>
      <c r="D410" s="53">
        <v>2022</v>
      </c>
      <c r="E410" s="53" t="s">
        <v>76</v>
      </c>
      <c r="F410" s="53" t="s">
        <v>51</v>
      </c>
      <c r="G410" s="54" t="str">
        <f t="shared" si="9"/>
        <v>Nuevo León</v>
      </c>
      <c r="H410" s="41"/>
      <c r="I410" s="41"/>
      <c r="J410" s="41"/>
      <c r="K410" s="41"/>
      <c r="L410" s="41"/>
      <c r="M410" s="41"/>
      <c r="N410" s="41"/>
      <c r="O410" s="41"/>
      <c r="P410" s="41"/>
      <c r="Q410" s="41"/>
      <c r="R410" s="41"/>
    </row>
    <row r="411" spans="1:18" x14ac:dyDescent="0.35">
      <c r="A411" s="41"/>
      <c r="B411" s="46" t="s">
        <v>12</v>
      </c>
      <c r="C411" s="57">
        <v>95514.479999998584</v>
      </c>
      <c r="D411" s="41">
        <v>2021</v>
      </c>
      <c r="E411" s="41" t="s">
        <v>76</v>
      </c>
      <c r="F411" s="41" t="s">
        <v>52</v>
      </c>
      <c r="G411" s="48" t="str">
        <f t="shared" si="9"/>
        <v>Quintana Roo</v>
      </c>
      <c r="H411" s="41"/>
      <c r="I411" s="41"/>
      <c r="J411" s="41"/>
      <c r="K411" s="41"/>
      <c r="L411" s="41"/>
      <c r="M411" s="41"/>
      <c r="N411" s="41"/>
      <c r="O411" s="41"/>
      <c r="P411" s="41"/>
      <c r="Q411" s="41"/>
      <c r="R411" s="41"/>
    </row>
    <row r="412" spans="1:18" x14ac:dyDescent="0.35">
      <c r="A412" s="41"/>
      <c r="B412" s="46" t="s">
        <v>13</v>
      </c>
      <c r="C412" s="57">
        <v>463428.26560001634</v>
      </c>
      <c r="D412" s="41">
        <v>2021</v>
      </c>
      <c r="E412" s="41" t="s">
        <v>76</v>
      </c>
      <c r="F412" s="41" t="s">
        <v>52</v>
      </c>
      <c r="G412" s="48" t="str">
        <f t="shared" si="9"/>
        <v>Quintana Roo</v>
      </c>
      <c r="H412" s="41"/>
      <c r="I412" s="41"/>
      <c r="J412" s="41"/>
      <c r="K412" s="41"/>
      <c r="L412" s="41"/>
      <c r="M412" s="41"/>
      <c r="N412" s="41"/>
      <c r="O412" s="41"/>
      <c r="P412" s="41"/>
      <c r="Q412" s="41"/>
      <c r="R412" s="41"/>
    </row>
    <row r="413" spans="1:18" x14ac:dyDescent="0.35">
      <c r="A413" s="41"/>
      <c r="B413" s="46" t="s">
        <v>14</v>
      </c>
      <c r="C413" s="57">
        <v>630015.71999999939</v>
      </c>
      <c r="D413" s="41">
        <v>2021</v>
      </c>
      <c r="E413" s="41" t="s">
        <v>76</v>
      </c>
      <c r="F413" s="41" t="s">
        <v>52</v>
      </c>
      <c r="G413" s="48" t="str">
        <f t="shared" si="9"/>
        <v>Quintana Roo</v>
      </c>
      <c r="H413" s="41"/>
      <c r="I413" s="41"/>
      <c r="J413" s="41"/>
      <c r="K413" s="41"/>
      <c r="L413" s="41"/>
      <c r="M413" s="41"/>
      <c r="N413" s="41"/>
      <c r="O413" s="41"/>
      <c r="P413" s="41"/>
      <c r="Q413" s="41"/>
      <c r="R413" s="41"/>
    </row>
    <row r="414" spans="1:18" x14ac:dyDescent="0.35">
      <c r="A414" s="41"/>
      <c r="B414" s="46" t="s">
        <v>15</v>
      </c>
      <c r="C414" s="57">
        <v>461668.69999999925</v>
      </c>
      <c r="D414" s="41">
        <v>2021</v>
      </c>
      <c r="E414" s="41" t="s">
        <v>76</v>
      </c>
      <c r="F414" s="41" t="s">
        <v>52</v>
      </c>
      <c r="G414" s="48" t="str">
        <f t="shared" si="9"/>
        <v>Quintana Roo</v>
      </c>
      <c r="H414" s="41"/>
      <c r="I414" s="41"/>
      <c r="J414" s="41"/>
      <c r="K414" s="41"/>
      <c r="L414" s="41"/>
      <c r="M414" s="41"/>
      <c r="N414" s="41"/>
      <c r="O414" s="41"/>
      <c r="P414" s="41"/>
      <c r="Q414" s="41"/>
      <c r="R414" s="41"/>
    </row>
    <row r="415" spans="1:18" x14ac:dyDescent="0.35">
      <c r="A415" s="41"/>
      <c r="B415" s="46" t="s">
        <v>16</v>
      </c>
      <c r="C415" s="57">
        <v>930510.24000000069</v>
      </c>
      <c r="D415" s="41">
        <v>2021</v>
      </c>
      <c r="E415" s="41" t="s">
        <v>76</v>
      </c>
      <c r="F415" s="41" t="s">
        <v>52</v>
      </c>
      <c r="G415" s="48" t="str">
        <f t="shared" si="9"/>
        <v>Quintana Roo</v>
      </c>
      <c r="H415" s="41"/>
      <c r="I415" s="41"/>
      <c r="J415" s="41"/>
      <c r="K415" s="41"/>
      <c r="L415" s="41"/>
      <c r="M415" s="41"/>
      <c r="N415" s="41"/>
      <c r="O415" s="41"/>
      <c r="P415" s="41"/>
      <c r="Q415" s="41"/>
      <c r="R415" s="41"/>
    </row>
    <row r="416" spans="1:18" x14ac:dyDescent="0.35">
      <c r="A416" s="41"/>
      <c r="B416" s="46" t="s">
        <v>17</v>
      </c>
      <c r="C416" s="57">
        <v>844793.1999999918</v>
      </c>
      <c r="D416" s="41">
        <v>2021</v>
      </c>
      <c r="E416" s="41" t="s">
        <v>76</v>
      </c>
      <c r="F416" s="41" t="s">
        <v>52</v>
      </c>
      <c r="G416" s="48" t="str">
        <f t="shared" si="9"/>
        <v>Quintana Roo</v>
      </c>
      <c r="H416" s="41"/>
      <c r="I416" s="41"/>
      <c r="J416" s="41"/>
      <c r="K416" s="41"/>
      <c r="L416" s="41"/>
      <c r="M416" s="41"/>
      <c r="N416" s="41"/>
      <c r="O416" s="41"/>
      <c r="P416" s="41"/>
      <c r="Q416" s="41"/>
      <c r="R416" s="41"/>
    </row>
    <row r="417" spans="1:18" x14ac:dyDescent="0.35">
      <c r="A417" s="41"/>
      <c r="B417" s="46" t="s">
        <v>18</v>
      </c>
      <c r="C417" s="57">
        <v>698655.23999999743</v>
      </c>
      <c r="D417" s="41">
        <v>2021</v>
      </c>
      <c r="E417" s="41" t="s">
        <v>76</v>
      </c>
      <c r="F417" s="41" t="s">
        <v>52</v>
      </c>
      <c r="G417" s="48" t="str">
        <f t="shared" si="9"/>
        <v>Quintana Roo</v>
      </c>
      <c r="H417" s="41"/>
      <c r="I417" s="41"/>
      <c r="J417" s="41"/>
      <c r="K417" s="41"/>
      <c r="L417" s="41"/>
      <c r="M417" s="41"/>
      <c r="N417" s="41"/>
      <c r="O417" s="41"/>
      <c r="P417" s="41"/>
      <c r="Q417" s="41"/>
      <c r="R417" s="41"/>
    </row>
    <row r="418" spans="1:18" x14ac:dyDescent="0.35">
      <c r="A418" s="41"/>
      <c r="B418" s="46" t="s">
        <v>19</v>
      </c>
      <c r="C418" s="57">
        <v>938898.19999999169</v>
      </c>
      <c r="D418" s="41">
        <v>2021</v>
      </c>
      <c r="E418" s="41" t="s">
        <v>76</v>
      </c>
      <c r="F418" s="41" t="s">
        <v>52</v>
      </c>
      <c r="G418" s="48" t="str">
        <f t="shared" si="9"/>
        <v>Quintana Roo</v>
      </c>
      <c r="H418" s="41"/>
      <c r="I418" s="41"/>
      <c r="J418" s="41"/>
      <c r="K418" s="41"/>
      <c r="L418" s="41"/>
      <c r="M418" s="41"/>
      <c r="N418" s="41"/>
      <c r="O418" s="41"/>
      <c r="P418" s="41"/>
      <c r="Q418" s="41"/>
      <c r="R418" s="41"/>
    </row>
    <row r="419" spans="1:18" x14ac:dyDescent="0.35">
      <c r="A419" s="41"/>
      <c r="B419" s="46" t="s">
        <v>20</v>
      </c>
      <c r="C419" s="57">
        <v>560866.9600000038</v>
      </c>
      <c r="D419" s="41">
        <v>2021</v>
      </c>
      <c r="E419" s="41" t="s">
        <v>76</v>
      </c>
      <c r="F419" s="41" t="s">
        <v>52</v>
      </c>
      <c r="G419" s="48" t="str">
        <f t="shared" si="9"/>
        <v>Quintana Roo</v>
      </c>
      <c r="H419" s="41"/>
      <c r="I419" s="41"/>
      <c r="J419" s="41"/>
      <c r="K419" s="41"/>
      <c r="L419" s="41"/>
      <c r="M419" s="41"/>
      <c r="N419" s="41"/>
      <c r="O419" s="41"/>
      <c r="P419" s="41"/>
      <c r="Q419" s="41"/>
      <c r="R419" s="41"/>
    </row>
    <row r="420" spans="1:18" x14ac:dyDescent="0.35">
      <c r="A420" s="41"/>
      <c r="B420" s="46" t="s">
        <v>21</v>
      </c>
      <c r="C420" s="57">
        <v>958182.03999999841</v>
      </c>
      <c r="D420" s="41">
        <v>2021</v>
      </c>
      <c r="E420" s="41" t="s">
        <v>76</v>
      </c>
      <c r="F420" s="41" t="s">
        <v>52</v>
      </c>
      <c r="G420" s="48" t="str">
        <f t="shared" si="9"/>
        <v>Quintana Roo</v>
      </c>
      <c r="H420" s="41"/>
      <c r="I420" s="41"/>
      <c r="J420" s="41"/>
      <c r="K420" s="41"/>
      <c r="L420" s="41"/>
      <c r="M420" s="41"/>
      <c r="N420" s="41"/>
      <c r="O420" s="41"/>
      <c r="P420" s="41"/>
      <c r="Q420" s="41"/>
      <c r="R420" s="41"/>
    </row>
    <row r="421" spans="1:18" x14ac:dyDescent="0.35">
      <c r="A421" s="41"/>
      <c r="B421" s="46" t="s">
        <v>22</v>
      </c>
      <c r="C421" s="57">
        <v>555634.20000000589</v>
      </c>
      <c r="D421" s="41">
        <v>2021</v>
      </c>
      <c r="E421" s="41" t="s">
        <v>76</v>
      </c>
      <c r="F421" s="41" t="s">
        <v>52</v>
      </c>
      <c r="G421" s="48" t="str">
        <f t="shared" si="9"/>
        <v>Quintana Roo</v>
      </c>
      <c r="H421" s="41"/>
      <c r="I421" s="41"/>
      <c r="J421" s="41"/>
      <c r="K421" s="41"/>
      <c r="L421" s="41"/>
      <c r="M421" s="41"/>
      <c r="N421" s="41"/>
      <c r="O421" s="41"/>
      <c r="P421" s="41"/>
      <c r="Q421" s="41"/>
      <c r="R421" s="41"/>
    </row>
    <row r="422" spans="1:18" x14ac:dyDescent="0.35">
      <c r="A422" s="41"/>
      <c r="B422" s="46" t="s">
        <v>23</v>
      </c>
      <c r="C422" s="57">
        <v>1306069.519999994</v>
      </c>
      <c r="D422" s="41">
        <v>2021</v>
      </c>
      <c r="E422" s="41" t="s">
        <v>76</v>
      </c>
      <c r="F422" s="41" t="s">
        <v>52</v>
      </c>
      <c r="G422" s="48" t="str">
        <f t="shared" si="9"/>
        <v>Quintana Roo</v>
      </c>
      <c r="H422" s="41"/>
      <c r="I422" s="41"/>
      <c r="J422" s="41"/>
      <c r="K422" s="41"/>
      <c r="L422" s="41"/>
      <c r="M422" s="41"/>
      <c r="N422" s="41"/>
      <c r="O422" s="41"/>
      <c r="P422" s="41"/>
      <c r="Q422" s="41"/>
      <c r="R422" s="41"/>
    </row>
    <row r="423" spans="1:18" x14ac:dyDescent="0.35">
      <c r="A423" s="41"/>
      <c r="B423" s="46" t="s">
        <v>12</v>
      </c>
      <c r="C423" s="57">
        <v>542743.12000000791</v>
      </c>
      <c r="D423" s="41">
        <v>2022</v>
      </c>
      <c r="E423" s="41" t="s">
        <v>76</v>
      </c>
      <c r="F423" s="41" t="s">
        <v>52</v>
      </c>
      <c r="G423" s="48" t="str">
        <f t="shared" si="9"/>
        <v>Quintana Roo</v>
      </c>
      <c r="H423" s="41"/>
      <c r="I423" s="41"/>
      <c r="J423" s="41"/>
      <c r="K423" s="41"/>
      <c r="L423" s="41"/>
      <c r="M423" s="41"/>
      <c r="N423" s="41"/>
      <c r="O423" s="41"/>
      <c r="P423" s="41"/>
      <c r="Q423" s="41"/>
      <c r="R423" s="41"/>
    </row>
    <row r="424" spans="1:18" x14ac:dyDescent="0.35">
      <c r="A424" s="41"/>
      <c r="B424" s="46" t="s">
        <v>13</v>
      </c>
      <c r="C424" s="57">
        <v>784330.52000001201</v>
      </c>
      <c r="D424" s="41">
        <v>2022</v>
      </c>
      <c r="E424" s="41" t="s">
        <v>76</v>
      </c>
      <c r="F424" s="41" t="s">
        <v>52</v>
      </c>
      <c r="G424" s="48" t="str">
        <f t="shared" si="9"/>
        <v>Quintana Roo</v>
      </c>
      <c r="H424" s="41"/>
      <c r="I424" s="41"/>
      <c r="J424" s="41"/>
      <c r="K424" s="41"/>
      <c r="L424" s="41"/>
      <c r="M424" s="41"/>
      <c r="N424" s="41"/>
      <c r="O424" s="41"/>
      <c r="P424" s="41"/>
      <c r="Q424" s="41"/>
      <c r="R424" s="41"/>
    </row>
    <row r="425" spans="1:18" x14ac:dyDescent="0.35">
      <c r="A425" s="41"/>
      <c r="B425" s="46" t="s">
        <v>14</v>
      </c>
      <c r="C425" s="57">
        <v>761799.84000001918</v>
      </c>
      <c r="D425" s="41">
        <v>2022</v>
      </c>
      <c r="E425" s="41" t="s">
        <v>76</v>
      </c>
      <c r="F425" s="41" t="s">
        <v>52</v>
      </c>
      <c r="G425" s="48" t="str">
        <f t="shared" si="9"/>
        <v>Quintana Roo</v>
      </c>
      <c r="H425" s="41"/>
      <c r="I425" s="41"/>
      <c r="J425" s="41"/>
      <c r="K425" s="41"/>
      <c r="L425" s="41"/>
      <c r="M425" s="41"/>
      <c r="N425" s="41"/>
      <c r="O425" s="41"/>
      <c r="P425" s="41"/>
      <c r="Q425" s="41"/>
      <c r="R425" s="41"/>
    </row>
    <row r="426" spans="1:18" x14ac:dyDescent="0.35">
      <c r="A426" s="41"/>
      <c r="B426" s="46" t="s">
        <v>15</v>
      </c>
      <c r="C426" s="57">
        <v>1055479.3600000127</v>
      </c>
      <c r="D426" s="41">
        <v>2022</v>
      </c>
      <c r="E426" s="41" t="s">
        <v>76</v>
      </c>
      <c r="F426" s="41" t="s">
        <v>52</v>
      </c>
      <c r="G426" s="48" t="str">
        <f t="shared" si="9"/>
        <v>Quintana Roo</v>
      </c>
      <c r="H426" s="41"/>
      <c r="I426" s="41"/>
      <c r="J426" s="41"/>
      <c r="K426" s="41"/>
      <c r="L426" s="41"/>
      <c r="M426" s="41"/>
      <c r="N426" s="41"/>
      <c r="O426" s="41"/>
      <c r="P426" s="41"/>
      <c r="Q426" s="41"/>
      <c r="R426" s="41"/>
    </row>
    <row r="427" spans="1:18" x14ac:dyDescent="0.35">
      <c r="A427" s="41"/>
      <c r="B427" s="51" t="s">
        <v>16</v>
      </c>
      <c r="C427" s="57">
        <v>667901.32000000845</v>
      </c>
      <c r="D427" s="53">
        <v>2022</v>
      </c>
      <c r="E427" s="41" t="s">
        <v>76</v>
      </c>
      <c r="F427" s="53" t="s">
        <v>52</v>
      </c>
      <c r="G427" s="48" t="str">
        <f t="shared" si="9"/>
        <v>Quintana Roo</v>
      </c>
      <c r="H427" s="41"/>
      <c r="I427" s="41"/>
      <c r="J427" s="41"/>
      <c r="K427" s="41"/>
      <c r="L427" s="41"/>
      <c r="M427" s="41"/>
      <c r="N427" s="41"/>
      <c r="O427" s="41"/>
      <c r="P427" s="41"/>
      <c r="Q427" s="41"/>
      <c r="R427" s="41"/>
    </row>
    <row r="428" spans="1:18" x14ac:dyDescent="0.35">
      <c r="A428" s="41"/>
      <c r="B428" s="46" t="s">
        <v>12</v>
      </c>
      <c r="C428" s="57">
        <v>8518337.1608000007</v>
      </c>
      <c r="D428" s="41">
        <v>2021</v>
      </c>
      <c r="E428" s="41" t="s">
        <v>76</v>
      </c>
      <c r="F428" s="41" t="s">
        <v>7</v>
      </c>
      <c r="G428" s="48" t="str">
        <f t="shared" si="9"/>
        <v>CDMX</v>
      </c>
      <c r="H428" s="41"/>
      <c r="I428" s="41"/>
      <c r="J428" s="41"/>
      <c r="K428" s="41"/>
      <c r="L428" s="41"/>
      <c r="M428" s="41"/>
      <c r="N428" s="41"/>
      <c r="O428" s="41"/>
      <c r="P428" s="41"/>
      <c r="Q428" s="41"/>
      <c r="R428" s="41"/>
    </row>
    <row r="429" spans="1:18" x14ac:dyDescent="0.35">
      <c r="A429" s="41"/>
      <c r="B429" s="46" t="s">
        <v>13</v>
      </c>
      <c r="C429" s="57">
        <v>11792226.314800244</v>
      </c>
      <c r="D429" s="41">
        <v>2021</v>
      </c>
      <c r="E429" s="41" t="s">
        <v>76</v>
      </c>
      <c r="F429" s="41" t="s">
        <v>7</v>
      </c>
      <c r="G429" s="48" t="str">
        <f t="shared" si="9"/>
        <v>CDMX</v>
      </c>
      <c r="H429" s="41"/>
      <c r="I429" s="41"/>
      <c r="J429" s="41"/>
      <c r="K429" s="41"/>
      <c r="L429" s="41"/>
      <c r="M429" s="41"/>
      <c r="N429" s="41"/>
      <c r="O429" s="41"/>
      <c r="P429" s="41"/>
      <c r="Q429" s="41"/>
      <c r="R429" s="41"/>
    </row>
    <row r="430" spans="1:18" x14ac:dyDescent="0.35">
      <c r="A430" s="41"/>
      <c r="B430" s="46" t="s">
        <v>14</v>
      </c>
      <c r="C430" s="57">
        <v>8130514.5484007001</v>
      </c>
      <c r="D430" s="41">
        <v>2021</v>
      </c>
      <c r="E430" s="41" t="s">
        <v>76</v>
      </c>
      <c r="F430" s="41" t="s">
        <v>7</v>
      </c>
      <c r="G430" s="48" t="str">
        <f t="shared" si="9"/>
        <v>CDMX</v>
      </c>
      <c r="H430" s="41"/>
      <c r="I430" s="41"/>
      <c r="J430" s="41"/>
      <c r="K430" s="41"/>
      <c r="L430" s="41"/>
      <c r="M430" s="41"/>
      <c r="N430" s="41"/>
      <c r="O430" s="41"/>
      <c r="P430" s="41"/>
      <c r="Q430" s="41"/>
      <c r="R430" s="41"/>
    </row>
    <row r="431" spans="1:18" x14ac:dyDescent="0.35">
      <c r="A431" s="41"/>
      <c r="B431" s="46" t="s">
        <v>15</v>
      </c>
      <c r="C431" s="57">
        <v>10422392.76719969</v>
      </c>
      <c r="D431" s="41">
        <v>2021</v>
      </c>
      <c r="E431" s="41" t="s">
        <v>76</v>
      </c>
      <c r="F431" s="41" t="s">
        <v>7</v>
      </c>
      <c r="G431" s="48" t="str">
        <f t="shared" si="9"/>
        <v>CDMX</v>
      </c>
      <c r="H431" s="41"/>
      <c r="I431" s="41"/>
      <c r="J431" s="41"/>
      <c r="K431" s="41"/>
      <c r="L431" s="41"/>
      <c r="M431" s="41"/>
      <c r="N431" s="41"/>
      <c r="O431" s="41"/>
      <c r="P431" s="41"/>
      <c r="Q431" s="41"/>
      <c r="R431" s="41"/>
    </row>
    <row r="432" spans="1:18" x14ac:dyDescent="0.35">
      <c r="A432" s="41"/>
      <c r="B432" s="46" t="s">
        <v>16</v>
      </c>
      <c r="C432" s="57">
        <v>10595586.603199802</v>
      </c>
      <c r="D432" s="41">
        <v>2021</v>
      </c>
      <c r="E432" s="41" t="s">
        <v>76</v>
      </c>
      <c r="F432" s="41" t="s">
        <v>7</v>
      </c>
      <c r="G432" s="48" t="str">
        <f t="shared" si="9"/>
        <v>CDMX</v>
      </c>
      <c r="H432" s="41"/>
      <c r="I432" s="41"/>
      <c r="J432" s="41"/>
      <c r="K432" s="41"/>
      <c r="L432" s="41"/>
      <c r="M432" s="41"/>
      <c r="N432" s="41"/>
      <c r="O432" s="41"/>
      <c r="P432" s="41"/>
      <c r="Q432" s="41"/>
      <c r="R432" s="41"/>
    </row>
    <row r="433" spans="1:18" x14ac:dyDescent="0.35">
      <c r="A433" s="41"/>
      <c r="B433" s="46" t="s">
        <v>17</v>
      </c>
      <c r="C433" s="57">
        <v>11003202.550399989</v>
      </c>
      <c r="D433" s="41">
        <v>2021</v>
      </c>
      <c r="E433" s="41" t="s">
        <v>76</v>
      </c>
      <c r="F433" s="41" t="s">
        <v>7</v>
      </c>
      <c r="G433" s="48" t="str">
        <f t="shared" si="9"/>
        <v>CDMX</v>
      </c>
      <c r="H433" s="41"/>
      <c r="I433" s="41"/>
      <c r="J433" s="41"/>
      <c r="K433" s="41"/>
      <c r="L433" s="41"/>
      <c r="M433" s="41"/>
      <c r="N433" s="41"/>
      <c r="O433" s="41"/>
      <c r="P433" s="41"/>
      <c r="Q433" s="41"/>
      <c r="R433" s="41"/>
    </row>
    <row r="434" spans="1:18" x14ac:dyDescent="0.35">
      <c r="A434" s="41"/>
      <c r="B434" s="46" t="s">
        <v>18</v>
      </c>
      <c r="C434" s="57">
        <v>11137237.557599943</v>
      </c>
      <c r="D434" s="41">
        <v>2021</v>
      </c>
      <c r="E434" s="41" t="s">
        <v>76</v>
      </c>
      <c r="F434" s="41" t="s">
        <v>7</v>
      </c>
      <c r="G434" s="48" t="str">
        <f t="shared" si="9"/>
        <v>CDMX</v>
      </c>
      <c r="H434" s="41"/>
      <c r="I434" s="41"/>
      <c r="J434" s="41"/>
      <c r="K434" s="41"/>
      <c r="L434" s="41"/>
      <c r="M434" s="41"/>
      <c r="N434" s="41"/>
      <c r="O434" s="41"/>
      <c r="P434" s="41"/>
      <c r="Q434" s="41"/>
      <c r="R434" s="41"/>
    </row>
    <row r="435" spans="1:18" x14ac:dyDescent="0.35">
      <c r="A435" s="41"/>
      <c r="B435" s="46" t="s">
        <v>19</v>
      </c>
      <c r="C435" s="57">
        <v>13876117.281199727</v>
      </c>
      <c r="D435" s="41">
        <v>2021</v>
      </c>
      <c r="E435" s="41" t="s">
        <v>76</v>
      </c>
      <c r="F435" s="41" t="s">
        <v>7</v>
      </c>
      <c r="G435" s="48" t="str">
        <f t="shared" si="9"/>
        <v>CDMX</v>
      </c>
      <c r="H435" s="41"/>
      <c r="I435" s="41"/>
      <c r="J435" s="41"/>
      <c r="K435" s="41"/>
      <c r="L435" s="41"/>
      <c r="M435" s="41"/>
      <c r="N435" s="41"/>
      <c r="O435" s="41"/>
      <c r="P435" s="41"/>
      <c r="Q435" s="41"/>
      <c r="R435" s="41"/>
    </row>
    <row r="436" spans="1:18" x14ac:dyDescent="0.35">
      <c r="A436" s="41"/>
      <c r="B436" s="46" t="s">
        <v>20</v>
      </c>
      <c r="C436" s="57">
        <v>11947096.696399651</v>
      </c>
      <c r="D436" s="41">
        <v>2021</v>
      </c>
      <c r="E436" s="41" t="s">
        <v>76</v>
      </c>
      <c r="F436" s="41" t="s">
        <v>7</v>
      </c>
      <c r="G436" s="48" t="str">
        <f t="shared" si="9"/>
        <v>CDMX</v>
      </c>
      <c r="H436" s="41"/>
      <c r="I436" s="41"/>
      <c r="J436" s="41"/>
      <c r="K436" s="41"/>
      <c r="L436" s="41"/>
      <c r="M436" s="41"/>
      <c r="N436" s="41"/>
      <c r="O436" s="41"/>
      <c r="P436" s="41"/>
      <c r="Q436" s="41"/>
      <c r="R436" s="41"/>
    </row>
    <row r="437" spans="1:18" x14ac:dyDescent="0.35">
      <c r="A437" s="41"/>
      <c r="B437" s="46" t="s">
        <v>21</v>
      </c>
      <c r="C437" s="57">
        <v>14453879.791999122</v>
      </c>
      <c r="D437" s="41">
        <v>2021</v>
      </c>
      <c r="E437" s="41" t="s">
        <v>76</v>
      </c>
      <c r="F437" s="41" t="s">
        <v>7</v>
      </c>
      <c r="G437" s="48" t="str">
        <f t="shared" si="9"/>
        <v>CDMX</v>
      </c>
      <c r="H437" s="41"/>
      <c r="I437" s="41"/>
      <c r="J437" s="41"/>
      <c r="K437" s="41"/>
      <c r="L437" s="41"/>
      <c r="M437" s="41"/>
      <c r="N437" s="41"/>
      <c r="O437" s="41"/>
      <c r="P437" s="41"/>
      <c r="Q437" s="41"/>
      <c r="R437" s="41"/>
    </row>
    <row r="438" spans="1:18" x14ac:dyDescent="0.35">
      <c r="A438" s="41"/>
      <c r="B438" s="46" t="s">
        <v>22</v>
      </c>
      <c r="C438" s="57">
        <v>13549311.246800715</v>
      </c>
      <c r="D438" s="41">
        <v>2021</v>
      </c>
      <c r="E438" s="41" t="s">
        <v>76</v>
      </c>
      <c r="F438" s="41" t="s">
        <v>7</v>
      </c>
      <c r="G438" s="48" t="str">
        <f t="shared" si="9"/>
        <v>CDMX</v>
      </c>
      <c r="H438" s="41"/>
      <c r="I438" s="41"/>
      <c r="J438" s="41"/>
      <c r="K438" s="41"/>
      <c r="L438" s="41"/>
      <c r="M438" s="41"/>
      <c r="N438" s="41"/>
      <c r="O438" s="41"/>
      <c r="P438" s="41"/>
      <c r="Q438" s="41"/>
      <c r="R438" s="41"/>
    </row>
    <row r="439" spans="1:18" x14ac:dyDescent="0.35">
      <c r="A439" s="41"/>
      <c r="B439" s="46" t="s">
        <v>23</v>
      </c>
      <c r="C439" s="57">
        <v>12390824.687200144</v>
      </c>
      <c r="D439" s="41">
        <v>2021</v>
      </c>
      <c r="E439" s="41" t="s">
        <v>76</v>
      </c>
      <c r="F439" s="41" t="s">
        <v>7</v>
      </c>
      <c r="G439" s="48" t="str">
        <f t="shared" si="9"/>
        <v>CDMX</v>
      </c>
      <c r="H439" s="41"/>
      <c r="I439" s="41"/>
      <c r="J439" s="41"/>
      <c r="K439" s="41"/>
      <c r="L439" s="41"/>
      <c r="M439" s="41"/>
      <c r="N439" s="41"/>
      <c r="O439" s="41"/>
      <c r="P439" s="41"/>
      <c r="Q439" s="41"/>
      <c r="R439" s="41"/>
    </row>
    <row r="440" spans="1:18" x14ac:dyDescent="0.35">
      <c r="A440" s="41"/>
      <c r="B440" s="46" t="s">
        <v>12</v>
      </c>
      <c r="C440" s="57">
        <v>8688767.1979999859</v>
      </c>
      <c r="D440" s="41">
        <v>2022</v>
      </c>
      <c r="E440" s="41" t="s">
        <v>76</v>
      </c>
      <c r="F440" s="41" t="s">
        <v>7</v>
      </c>
      <c r="G440" s="48" t="str">
        <f t="shared" si="9"/>
        <v>CDMX</v>
      </c>
      <c r="H440" s="41"/>
      <c r="I440" s="41"/>
      <c r="J440" s="41"/>
      <c r="K440" s="41"/>
      <c r="L440" s="41"/>
      <c r="M440" s="41"/>
      <c r="N440" s="41"/>
      <c r="O440" s="41"/>
      <c r="P440" s="41"/>
      <c r="Q440" s="41"/>
      <c r="R440" s="41"/>
    </row>
    <row r="441" spans="1:18" x14ac:dyDescent="0.35">
      <c r="A441" s="41"/>
      <c r="B441" s="46" t="s">
        <v>13</v>
      </c>
      <c r="C441" s="57">
        <v>11513804.019199923</v>
      </c>
      <c r="D441" s="41">
        <v>2022</v>
      </c>
      <c r="E441" s="41" t="s">
        <v>76</v>
      </c>
      <c r="F441" s="41" t="s">
        <v>7</v>
      </c>
      <c r="G441" s="48" t="str">
        <f t="shared" si="9"/>
        <v>CDMX</v>
      </c>
      <c r="H441" s="41"/>
      <c r="I441" s="41"/>
      <c r="J441" s="41"/>
      <c r="K441" s="41"/>
      <c r="L441" s="41"/>
      <c r="M441" s="41"/>
      <c r="N441" s="41"/>
      <c r="O441" s="41"/>
      <c r="P441" s="41"/>
      <c r="Q441" s="41"/>
      <c r="R441" s="41"/>
    </row>
    <row r="442" spans="1:18" x14ac:dyDescent="0.35">
      <c r="A442" s="41"/>
      <c r="B442" s="46" t="s">
        <v>14</v>
      </c>
      <c r="C442" s="57">
        <v>13140868.414399926</v>
      </c>
      <c r="D442" s="41">
        <v>2022</v>
      </c>
      <c r="E442" s="41" t="s">
        <v>76</v>
      </c>
      <c r="F442" s="41" t="s">
        <v>7</v>
      </c>
      <c r="G442" s="48" t="str">
        <f t="shared" si="9"/>
        <v>CDMX</v>
      </c>
      <c r="H442" s="41"/>
      <c r="I442" s="41"/>
      <c r="J442" s="41"/>
      <c r="K442" s="41"/>
      <c r="L442" s="41"/>
      <c r="M442" s="41"/>
      <c r="N442" s="41"/>
      <c r="O442" s="41"/>
      <c r="P442" s="41"/>
      <c r="Q442" s="41"/>
      <c r="R442" s="41"/>
    </row>
    <row r="443" spans="1:18" x14ac:dyDescent="0.35">
      <c r="A443" s="41"/>
      <c r="B443" s="46" t="s">
        <v>15</v>
      </c>
      <c r="C443" s="57">
        <v>13670472.153599968</v>
      </c>
      <c r="D443" s="41">
        <v>2022</v>
      </c>
      <c r="E443" s="41" t="s">
        <v>76</v>
      </c>
      <c r="F443" s="41" t="s">
        <v>7</v>
      </c>
      <c r="G443" s="48" t="str">
        <f t="shared" si="9"/>
        <v>CDMX</v>
      </c>
      <c r="H443" s="41"/>
      <c r="I443" s="41"/>
      <c r="J443" s="41"/>
      <c r="K443" s="41"/>
      <c r="L443" s="41"/>
      <c r="M443" s="41"/>
      <c r="N443" s="41"/>
      <c r="O443" s="41"/>
      <c r="P443" s="41"/>
      <c r="Q443" s="41"/>
      <c r="R443" s="41"/>
    </row>
    <row r="444" spans="1:18" x14ac:dyDescent="0.35">
      <c r="A444" s="41"/>
      <c r="B444" s="51" t="s">
        <v>16</v>
      </c>
      <c r="C444" s="58">
        <v>11935516.401999779</v>
      </c>
      <c r="D444" s="53">
        <v>2022</v>
      </c>
      <c r="E444" s="53" t="s">
        <v>76</v>
      </c>
      <c r="F444" s="53" t="s">
        <v>7</v>
      </c>
      <c r="G444" s="54" t="str">
        <f t="shared" si="9"/>
        <v>CDMX</v>
      </c>
      <c r="H444" s="41"/>
      <c r="I444" s="41"/>
      <c r="J444" s="41"/>
      <c r="K444" s="41"/>
      <c r="L444" s="41"/>
      <c r="M444" s="41"/>
      <c r="N444" s="41"/>
      <c r="O444" s="41"/>
      <c r="P444" s="41"/>
      <c r="Q444" s="41"/>
      <c r="R444" s="41"/>
    </row>
    <row r="445" spans="1:18" x14ac:dyDescent="0.35">
      <c r="A445" s="41"/>
      <c r="B445" s="46" t="s">
        <v>12</v>
      </c>
      <c r="C445" s="57">
        <v>398393.65999999968</v>
      </c>
      <c r="D445" s="41">
        <v>2021</v>
      </c>
      <c r="E445" s="41" t="s">
        <v>76</v>
      </c>
      <c r="F445" s="41" t="s">
        <v>53</v>
      </c>
      <c r="G445" s="48" t="str">
        <f t="shared" si="9"/>
        <v>Jalisco</v>
      </c>
      <c r="H445" s="41"/>
      <c r="I445" s="41"/>
      <c r="J445" s="41"/>
      <c r="K445" s="41"/>
      <c r="L445" s="41"/>
      <c r="M445" s="41"/>
      <c r="N445" s="41"/>
      <c r="O445" s="41"/>
      <c r="P445" s="41"/>
      <c r="Q445" s="41"/>
      <c r="R445" s="41"/>
    </row>
    <row r="446" spans="1:18" x14ac:dyDescent="0.35">
      <c r="A446" s="41"/>
      <c r="B446" s="46" t="s">
        <v>13</v>
      </c>
      <c r="C446" s="57">
        <v>890525.04</v>
      </c>
      <c r="D446" s="41">
        <v>2021</v>
      </c>
      <c r="E446" s="41" t="s">
        <v>76</v>
      </c>
      <c r="F446" s="41" t="s">
        <v>53</v>
      </c>
      <c r="G446" s="48" t="str">
        <f t="shared" si="9"/>
        <v>Jalisco</v>
      </c>
      <c r="H446" s="41"/>
      <c r="I446" s="41"/>
      <c r="J446" s="41"/>
      <c r="K446" s="41"/>
      <c r="L446" s="41"/>
      <c r="M446" s="41"/>
      <c r="N446" s="41"/>
      <c r="O446" s="41"/>
      <c r="P446" s="41"/>
      <c r="Q446" s="41"/>
      <c r="R446" s="41"/>
    </row>
    <row r="447" spans="1:18" x14ac:dyDescent="0.35">
      <c r="A447" s="41"/>
      <c r="B447" s="46" t="s">
        <v>14</v>
      </c>
      <c r="C447" s="57">
        <v>727889.56</v>
      </c>
      <c r="D447" s="41">
        <v>2021</v>
      </c>
      <c r="E447" s="41" t="s">
        <v>76</v>
      </c>
      <c r="F447" s="41" t="s">
        <v>53</v>
      </c>
      <c r="G447" s="48" t="str">
        <f t="shared" si="9"/>
        <v>Jalisco</v>
      </c>
      <c r="H447" s="41"/>
      <c r="I447" s="41"/>
      <c r="J447" s="41"/>
      <c r="K447" s="41"/>
      <c r="L447" s="41"/>
      <c r="M447" s="41"/>
      <c r="N447" s="41"/>
      <c r="O447" s="41"/>
      <c r="P447" s="41"/>
      <c r="Q447" s="41"/>
      <c r="R447" s="41"/>
    </row>
    <row r="448" spans="1:18" x14ac:dyDescent="0.35">
      <c r="A448" s="41"/>
      <c r="B448" s="46" t="s">
        <v>15</v>
      </c>
      <c r="C448" s="57">
        <v>691817.04</v>
      </c>
      <c r="D448" s="41">
        <v>2021</v>
      </c>
      <c r="E448" s="41" t="s">
        <v>76</v>
      </c>
      <c r="F448" s="41" t="s">
        <v>53</v>
      </c>
      <c r="G448" s="48" t="str">
        <f t="shared" si="9"/>
        <v>Jalisco</v>
      </c>
      <c r="H448" s="41"/>
      <c r="I448" s="41"/>
      <c r="J448" s="41"/>
      <c r="K448" s="41"/>
      <c r="L448" s="41"/>
      <c r="M448" s="41"/>
      <c r="N448" s="41"/>
      <c r="O448" s="41"/>
      <c r="P448" s="41"/>
      <c r="Q448" s="41"/>
      <c r="R448" s="41"/>
    </row>
    <row r="449" spans="1:18" x14ac:dyDescent="0.35">
      <c r="A449" s="41"/>
      <c r="B449" s="46" t="s">
        <v>16</v>
      </c>
      <c r="C449" s="57">
        <v>573378.72</v>
      </c>
      <c r="D449" s="41">
        <v>2021</v>
      </c>
      <c r="E449" s="41" t="s">
        <v>76</v>
      </c>
      <c r="F449" s="41" t="s">
        <v>53</v>
      </c>
      <c r="G449" s="48" t="str">
        <f t="shared" si="9"/>
        <v>Jalisco</v>
      </c>
      <c r="H449" s="41"/>
      <c r="I449" s="41"/>
      <c r="J449" s="41"/>
      <c r="K449" s="41"/>
      <c r="L449" s="41"/>
      <c r="M449" s="41"/>
      <c r="N449" s="41"/>
      <c r="O449" s="41"/>
      <c r="P449" s="41"/>
      <c r="Q449" s="41"/>
      <c r="R449" s="41"/>
    </row>
    <row r="450" spans="1:18" x14ac:dyDescent="0.35">
      <c r="A450" s="41"/>
      <c r="B450" s="46" t="s">
        <v>17</v>
      </c>
      <c r="C450" s="57">
        <v>657960.12000000186</v>
      </c>
      <c r="D450" s="41">
        <v>2021</v>
      </c>
      <c r="E450" s="41" t="s">
        <v>76</v>
      </c>
      <c r="F450" s="41" t="s">
        <v>53</v>
      </c>
      <c r="G450" s="48" t="str">
        <f t="shared" si="9"/>
        <v>Jalisco</v>
      </c>
      <c r="H450" s="41"/>
      <c r="I450" s="41"/>
      <c r="J450" s="41"/>
      <c r="K450" s="41"/>
      <c r="L450" s="41"/>
      <c r="M450" s="41"/>
      <c r="N450" s="41"/>
      <c r="O450" s="41"/>
      <c r="P450" s="41"/>
      <c r="Q450" s="41"/>
      <c r="R450" s="41"/>
    </row>
    <row r="451" spans="1:18" x14ac:dyDescent="0.35">
      <c r="A451" s="41"/>
      <c r="B451" s="46" t="s">
        <v>18</v>
      </c>
      <c r="C451" s="57">
        <v>587442.55999999726</v>
      </c>
      <c r="D451" s="41">
        <v>2021</v>
      </c>
      <c r="E451" s="41" t="s">
        <v>76</v>
      </c>
      <c r="F451" s="41" t="s">
        <v>53</v>
      </c>
      <c r="G451" s="48" t="str">
        <f t="shared" ref="G451:G461" si="10">VLOOKUP(F451,$T$3:$U$11,2,0)</f>
        <v>Jalisco</v>
      </c>
      <c r="H451" s="41"/>
      <c r="I451" s="41"/>
      <c r="J451" s="41"/>
      <c r="K451" s="41"/>
      <c r="L451" s="41"/>
      <c r="M451" s="41"/>
      <c r="N451" s="41"/>
      <c r="O451" s="41"/>
      <c r="P451" s="41"/>
      <c r="Q451" s="41"/>
      <c r="R451" s="41"/>
    </row>
    <row r="452" spans="1:18" x14ac:dyDescent="0.35">
      <c r="A452" s="41"/>
      <c r="B452" s="46" t="s">
        <v>19</v>
      </c>
      <c r="C452" s="57">
        <v>788700.24000000069</v>
      </c>
      <c r="D452" s="41">
        <v>2021</v>
      </c>
      <c r="E452" s="41" t="s">
        <v>76</v>
      </c>
      <c r="F452" s="41" t="s">
        <v>53</v>
      </c>
      <c r="G452" s="48" t="str">
        <f t="shared" si="10"/>
        <v>Jalisco</v>
      </c>
      <c r="H452" s="41"/>
      <c r="I452" s="41"/>
      <c r="J452" s="41"/>
      <c r="K452" s="41"/>
      <c r="L452" s="41"/>
      <c r="M452" s="41"/>
      <c r="N452" s="41"/>
      <c r="O452" s="41"/>
      <c r="P452" s="41"/>
      <c r="Q452" s="41"/>
      <c r="R452" s="41"/>
    </row>
    <row r="453" spans="1:18" x14ac:dyDescent="0.35">
      <c r="A453" s="41"/>
      <c r="B453" s="46" t="s">
        <v>20</v>
      </c>
      <c r="C453" s="57">
        <v>589804.32000000146</v>
      </c>
      <c r="D453" s="41">
        <v>2021</v>
      </c>
      <c r="E453" s="41" t="s">
        <v>76</v>
      </c>
      <c r="F453" s="41" t="s">
        <v>53</v>
      </c>
      <c r="G453" s="48" t="str">
        <f t="shared" si="10"/>
        <v>Jalisco</v>
      </c>
      <c r="H453" s="41"/>
      <c r="I453" s="41"/>
      <c r="J453" s="41"/>
      <c r="K453" s="41"/>
      <c r="L453" s="41"/>
      <c r="M453" s="41"/>
      <c r="N453" s="41"/>
      <c r="O453" s="41"/>
      <c r="P453" s="41"/>
      <c r="Q453" s="41"/>
      <c r="R453" s="41"/>
    </row>
    <row r="454" spans="1:18" x14ac:dyDescent="0.35">
      <c r="A454" s="41"/>
      <c r="B454" s="46" t="s">
        <v>21</v>
      </c>
      <c r="C454" s="57">
        <v>667071.92000000551</v>
      </c>
      <c r="D454" s="41">
        <v>2021</v>
      </c>
      <c r="E454" s="41" t="s">
        <v>76</v>
      </c>
      <c r="F454" s="41" t="s">
        <v>53</v>
      </c>
      <c r="G454" s="48" t="str">
        <f t="shared" si="10"/>
        <v>Jalisco</v>
      </c>
      <c r="H454" s="41"/>
      <c r="I454" s="41"/>
      <c r="J454" s="41"/>
      <c r="K454" s="41"/>
      <c r="L454" s="41"/>
      <c r="M454" s="41"/>
      <c r="N454" s="41"/>
      <c r="O454" s="41"/>
      <c r="P454" s="41"/>
      <c r="Q454" s="41"/>
      <c r="R454" s="41"/>
    </row>
    <row r="455" spans="1:18" x14ac:dyDescent="0.35">
      <c r="A455" s="41"/>
      <c r="B455" s="46" t="s">
        <v>22</v>
      </c>
      <c r="C455" s="57">
        <v>816211.95999999426</v>
      </c>
      <c r="D455" s="41">
        <v>2021</v>
      </c>
      <c r="E455" s="41" t="s">
        <v>76</v>
      </c>
      <c r="F455" s="41" t="s">
        <v>53</v>
      </c>
      <c r="G455" s="48" t="str">
        <f t="shared" si="10"/>
        <v>Jalisco</v>
      </c>
      <c r="H455" s="41"/>
      <c r="I455" s="41"/>
      <c r="J455" s="41"/>
      <c r="K455" s="41"/>
      <c r="L455" s="41"/>
      <c r="M455" s="41"/>
      <c r="N455" s="41"/>
      <c r="O455" s="41"/>
      <c r="P455" s="41"/>
      <c r="Q455" s="41"/>
      <c r="R455" s="41"/>
    </row>
    <row r="456" spans="1:18" x14ac:dyDescent="0.35">
      <c r="A456" s="41"/>
      <c r="B456" s="46" t="s">
        <v>23</v>
      </c>
      <c r="C456" s="57">
        <v>1153711.6399999999</v>
      </c>
      <c r="D456" s="41">
        <v>2021</v>
      </c>
      <c r="E456" s="41" t="s">
        <v>76</v>
      </c>
      <c r="F456" s="41" t="s">
        <v>53</v>
      </c>
      <c r="G456" s="48" t="str">
        <f t="shared" si="10"/>
        <v>Jalisco</v>
      </c>
      <c r="H456" s="41"/>
      <c r="I456" s="41"/>
      <c r="J456" s="41"/>
      <c r="K456" s="41"/>
      <c r="L456" s="41"/>
      <c r="M456" s="41"/>
      <c r="N456" s="41"/>
      <c r="O456" s="41"/>
      <c r="P456" s="41"/>
      <c r="Q456" s="41"/>
      <c r="R456" s="41"/>
    </row>
    <row r="457" spans="1:18" x14ac:dyDescent="0.35">
      <c r="A457" s="41"/>
      <c r="B457" s="46" t="s">
        <v>12</v>
      </c>
      <c r="C457" s="57">
        <v>649517.64000000758</v>
      </c>
      <c r="D457" s="41">
        <v>2022</v>
      </c>
      <c r="E457" s="41" t="s">
        <v>76</v>
      </c>
      <c r="F457" s="41" t="s">
        <v>53</v>
      </c>
      <c r="G457" s="48" t="str">
        <f t="shared" si="10"/>
        <v>Jalisco</v>
      </c>
      <c r="H457" s="41"/>
      <c r="I457" s="41"/>
      <c r="J457" s="41"/>
      <c r="K457" s="41"/>
      <c r="L457" s="41"/>
      <c r="M457" s="41"/>
      <c r="N457" s="41"/>
      <c r="O457" s="41"/>
      <c r="P457" s="41"/>
      <c r="Q457" s="41"/>
      <c r="R457" s="41"/>
    </row>
    <row r="458" spans="1:18" x14ac:dyDescent="0.35">
      <c r="A458" s="41"/>
      <c r="B458" s="46" t="s">
        <v>13</v>
      </c>
      <c r="C458" s="57">
        <v>857553.20000000286</v>
      </c>
      <c r="D458" s="41">
        <v>2022</v>
      </c>
      <c r="E458" s="41" t="s">
        <v>76</v>
      </c>
      <c r="F458" s="41" t="s">
        <v>53</v>
      </c>
      <c r="G458" s="48" t="str">
        <f t="shared" si="10"/>
        <v>Jalisco</v>
      </c>
      <c r="H458" s="41"/>
      <c r="I458" s="41"/>
      <c r="J458" s="41"/>
      <c r="K458" s="41"/>
      <c r="L458" s="41"/>
      <c r="M458" s="41"/>
      <c r="N458" s="41"/>
      <c r="O458" s="41"/>
      <c r="P458" s="41"/>
      <c r="Q458" s="41"/>
      <c r="R458" s="41"/>
    </row>
    <row r="459" spans="1:18" x14ac:dyDescent="0.35">
      <c r="A459" s="41"/>
      <c r="B459" s="46" t="s">
        <v>14</v>
      </c>
      <c r="C459" s="57">
        <v>1090172.6400000015</v>
      </c>
      <c r="D459" s="41">
        <v>2022</v>
      </c>
      <c r="E459" s="41" t="s">
        <v>76</v>
      </c>
      <c r="F459" s="41" t="s">
        <v>53</v>
      </c>
      <c r="G459" s="48" t="str">
        <f t="shared" si="10"/>
        <v>Jalisco</v>
      </c>
      <c r="H459" s="41"/>
      <c r="I459" s="41"/>
      <c r="J459" s="41"/>
      <c r="K459" s="41"/>
      <c r="L459" s="41"/>
      <c r="M459" s="41"/>
      <c r="N459" s="41"/>
      <c r="O459" s="41"/>
      <c r="P459" s="41"/>
      <c r="Q459" s="41"/>
      <c r="R459" s="41"/>
    </row>
    <row r="460" spans="1:18" x14ac:dyDescent="0.35">
      <c r="A460" s="41"/>
      <c r="B460" s="46" t="s">
        <v>15</v>
      </c>
      <c r="C460" s="57">
        <v>1123386.9199999946</v>
      </c>
      <c r="D460" s="41">
        <v>2022</v>
      </c>
      <c r="E460" s="41" t="s">
        <v>76</v>
      </c>
      <c r="F460" s="41" t="s">
        <v>53</v>
      </c>
      <c r="G460" s="48" t="str">
        <f t="shared" si="10"/>
        <v>Jalisco</v>
      </c>
      <c r="H460" s="41"/>
      <c r="I460" s="41"/>
      <c r="J460" s="41"/>
      <c r="K460" s="41"/>
      <c r="L460" s="41"/>
      <c r="M460" s="41"/>
      <c r="N460" s="41"/>
      <c r="O460" s="41"/>
      <c r="P460" s="41"/>
      <c r="Q460" s="41"/>
      <c r="R460" s="41"/>
    </row>
    <row r="461" spans="1:18" x14ac:dyDescent="0.35">
      <c r="A461" s="41"/>
      <c r="B461" s="51" t="s">
        <v>16</v>
      </c>
      <c r="C461" s="58">
        <v>719682.55999998783</v>
      </c>
      <c r="D461" s="53">
        <v>2022</v>
      </c>
      <c r="E461" s="53" t="s">
        <v>76</v>
      </c>
      <c r="F461" s="53" t="s">
        <v>53</v>
      </c>
      <c r="G461" s="54" t="str">
        <f t="shared" si="10"/>
        <v>Jalisco</v>
      </c>
      <c r="H461" s="41"/>
      <c r="I461" s="41"/>
      <c r="J461" s="41"/>
      <c r="K461" s="41"/>
      <c r="L461" s="41"/>
      <c r="M461" s="41"/>
      <c r="N461" s="41"/>
      <c r="O461" s="41"/>
      <c r="P461" s="41"/>
      <c r="Q461" s="41"/>
      <c r="R461" s="41"/>
    </row>
    <row r="462" spans="1:18" x14ac:dyDescent="0.35">
      <c r="A462" s="41"/>
      <c r="B462" s="46" t="s">
        <v>12</v>
      </c>
      <c r="C462" s="57">
        <v>56764976.169999994</v>
      </c>
      <c r="D462" s="41">
        <v>2021</v>
      </c>
      <c r="E462" s="41" t="s">
        <v>75</v>
      </c>
      <c r="F462" s="41" t="s">
        <v>78</v>
      </c>
      <c r="G462" s="48" t="s">
        <v>58</v>
      </c>
      <c r="H462" s="41"/>
      <c r="I462" s="41"/>
      <c r="J462" s="41"/>
      <c r="K462" s="41"/>
      <c r="L462" s="41"/>
      <c r="M462" s="41"/>
      <c r="N462" s="41"/>
      <c r="O462" s="41"/>
      <c r="P462" s="41"/>
      <c r="Q462" s="41"/>
      <c r="R462" s="41"/>
    </row>
    <row r="463" spans="1:18" x14ac:dyDescent="0.35">
      <c r="A463" s="41"/>
      <c r="B463" s="46" t="s">
        <v>13</v>
      </c>
      <c r="C463" s="57">
        <v>50535293.071200326</v>
      </c>
      <c r="D463" s="41">
        <v>2021</v>
      </c>
      <c r="E463" s="41" t="s">
        <v>75</v>
      </c>
      <c r="F463" s="41" t="s">
        <v>78</v>
      </c>
      <c r="G463" s="48" t="s">
        <v>58</v>
      </c>
      <c r="H463" s="41"/>
      <c r="I463" s="41"/>
      <c r="J463" s="41"/>
      <c r="K463" s="41"/>
      <c r="L463" s="41"/>
      <c r="M463" s="41"/>
      <c r="N463" s="41"/>
      <c r="O463" s="41"/>
      <c r="P463" s="41"/>
      <c r="Q463" s="41"/>
      <c r="R463" s="41"/>
    </row>
    <row r="464" spans="1:18" x14ac:dyDescent="0.35">
      <c r="A464" s="41"/>
      <c r="B464" s="46" t="s">
        <v>14</v>
      </c>
      <c r="C464" s="57">
        <v>32121974.558000654</v>
      </c>
      <c r="D464" s="41">
        <v>2021</v>
      </c>
      <c r="E464" s="41" t="s">
        <v>75</v>
      </c>
      <c r="F464" s="41" t="s">
        <v>78</v>
      </c>
      <c r="G464" s="48" t="s">
        <v>58</v>
      </c>
      <c r="H464" s="41"/>
      <c r="I464" s="41"/>
      <c r="J464" s="41"/>
      <c r="K464" s="41"/>
      <c r="L464" s="41"/>
      <c r="M464" s="41"/>
      <c r="N464" s="41"/>
      <c r="O464" s="41"/>
      <c r="P464" s="41"/>
      <c r="Q464" s="41"/>
      <c r="R464" s="41"/>
    </row>
    <row r="465" spans="1:18" x14ac:dyDescent="0.35">
      <c r="A465" s="41"/>
      <c r="B465" s="46" t="s">
        <v>15</v>
      </c>
      <c r="C465" s="57">
        <v>28301840.25280026</v>
      </c>
      <c r="D465" s="41">
        <v>2021</v>
      </c>
      <c r="E465" s="41" t="s">
        <v>75</v>
      </c>
      <c r="F465" s="41" t="s">
        <v>78</v>
      </c>
      <c r="G465" s="48" t="s">
        <v>58</v>
      </c>
      <c r="H465" s="41"/>
      <c r="I465" s="41"/>
      <c r="J465" s="41"/>
      <c r="K465" s="41"/>
      <c r="L465" s="41"/>
      <c r="M465" s="41"/>
      <c r="N465" s="41"/>
      <c r="O465" s="41"/>
      <c r="P465" s="41"/>
      <c r="Q465" s="41"/>
      <c r="R465" s="41"/>
    </row>
    <row r="466" spans="1:18" x14ac:dyDescent="0.35">
      <c r="A466" s="41"/>
      <c r="B466" s="46" t="s">
        <v>16</v>
      </c>
      <c r="C466" s="57">
        <v>23469917.917600181</v>
      </c>
      <c r="D466" s="41">
        <v>2021</v>
      </c>
      <c r="E466" s="41" t="s">
        <v>75</v>
      </c>
      <c r="F466" s="41" t="s">
        <v>78</v>
      </c>
      <c r="G466" s="48" t="s">
        <v>58</v>
      </c>
      <c r="H466" s="41"/>
      <c r="I466" s="41"/>
      <c r="J466" s="41"/>
      <c r="K466" s="41"/>
      <c r="L466" s="41"/>
      <c r="M466" s="41"/>
      <c r="N466" s="41"/>
      <c r="O466" s="41"/>
      <c r="P466" s="41"/>
      <c r="Q466" s="41"/>
      <c r="R466" s="41"/>
    </row>
    <row r="467" spans="1:18" x14ac:dyDescent="0.35">
      <c r="A467" s="41"/>
      <c r="B467" s="46" t="s">
        <v>17</v>
      </c>
      <c r="C467" s="57">
        <v>18281607.79400003</v>
      </c>
      <c r="D467" s="41">
        <v>2021</v>
      </c>
      <c r="E467" s="41" t="s">
        <v>75</v>
      </c>
      <c r="F467" s="41" t="s">
        <v>78</v>
      </c>
      <c r="G467" s="48" t="s">
        <v>58</v>
      </c>
      <c r="H467" s="41"/>
      <c r="I467" s="41"/>
      <c r="J467" s="41"/>
      <c r="K467" s="41"/>
      <c r="L467" s="41"/>
      <c r="M467" s="41"/>
      <c r="N467" s="41"/>
      <c r="O467" s="41"/>
      <c r="P467" s="41"/>
      <c r="Q467" s="41"/>
      <c r="R467" s="41"/>
    </row>
    <row r="468" spans="1:18" x14ac:dyDescent="0.35">
      <c r="A468" s="41"/>
      <c r="B468" s="46" t="s">
        <v>18</v>
      </c>
      <c r="C468" s="57">
        <v>31612197.190000534</v>
      </c>
      <c r="D468" s="41">
        <v>2021</v>
      </c>
      <c r="E468" s="41" t="s">
        <v>75</v>
      </c>
      <c r="F468" s="41" t="s">
        <v>78</v>
      </c>
      <c r="G468" s="48" t="s">
        <v>58</v>
      </c>
      <c r="H468" s="41"/>
      <c r="I468" s="41"/>
      <c r="J468" s="41"/>
      <c r="K468" s="41"/>
      <c r="L468" s="41"/>
      <c r="M468" s="41"/>
      <c r="N468" s="41"/>
      <c r="O468" s="41"/>
      <c r="P468" s="41"/>
      <c r="Q468" s="41"/>
      <c r="R468" s="41"/>
    </row>
    <row r="469" spans="1:18" x14ac:dyDescent="0.35">
      <c r="A469" s="41"/>
      <c r="B469" s="46" t="s">
        <v>19</v>
      </c>
      <c r="C469" s="57">
        <v>49606629.133614138</v>
      </c>
      <c r="D469" s="41">
        <v>2021</v>
      </c>
      <c r="E469" s="41" t="s">
        <v>75</v>
      </c>
      <c r="F469" s="41" t="s">
        <v>78</v>
      </c>
      <c r="G469" s="48" t="s">
        <v>58</v>
      </c>
      <c r="H469" s="41"/>
      <c r="I469" s="41"/>
      <c r="J469" s="41"/>
      <c r="K469" s="41"/>
      <c r="L469" s="41"/>
      <c r="M469" s="41"/>
      <c r="N469" s="41"/>
      <c r="O469" s="41"/>
      <c r="P469" s="41"/>
      <c r="Q469" s="41"/>
      <c r="R469" s="41"/>
    </row>
    <row r="470" spans="1:18" x14ac:dyDescent="0.35">
      <c r="A470" s="41"/>
      <c r="B470" s="46" t="s">
        <v>20</v>
      </c>
      <c r="C470" s="57">
        <v>28342569.503600437</v>
      </c>
      <c r="D470" s="41">
        <v>2021</v>
      </c>
      <c r="E470" s="41" t="s">
        <v>75</v>
      </c>
      <c r="F470" s="41" t="s">
        <v>78</v>
      </c>
      <c r="G470" s="48" t="s">
        <v>58</v>
      </c>
      <c r="H470" s="41"/>
      <c r="I470" s="41"/>
      <c r="J470" s="41"/>
      <c r="K470" s="41"/>
      <c r="L470" s="41"/>
      <c r="M470" s="41"/>
      <c r="N470" s="41"/>
      <c r="O470" s="41"/>
      <c r="P470" s="41"/>
      <c r="Q470" s="41"/>
      <c r="R470" s="41"/>
    </row>
    <row r="471" spans="1:18" x14ac:dyDescent="0.35">
      <c r="A471" s="41"/>
      <c r="B471" s="46" t="s">
        <v>21</v>
      </c>
      <c r="C471" s="57">
        <v>20249091.419999998</v>
      </c>
      <c r="D471" s="41">
        <v>2021</v>
      </c>
      <c r="E471" s="41" t="s">
        <v>75</v>
      </c>
      <c r="F471" s="41" t="s">
        <v>78</v>
      </c>
      <c r="G471" s="48" t="s">
        <v>58</v>
      </c>
      <c r="H471" s="41"/>
      <c r="I471" s="41"/>
      <c r="J471" s="41"/>
      <c r="K471" s="41"/>
      <c r="L471" s="41"/>
      <c r="M471" s="41"/>
      <c r="N471" s="41"/>
      <c r="O471" s="41"/>
      <c r="P471" s="41"/>
      <c r="Q471" s="41"/>
      <c r="R471" s="41"/>
    </row>
    <row r="472" spans="1:18" x14ac:dyDescent="0.35">
      <c r="A472" s="41"/>
      <c r="B472" s="46" t="s">
        <v>22</v>
      </c>
      <c r="C472" s="57">
        <v>24706882.664800003</v>
      </c>
      <c r="D472" s="41">
        <v>2021</v>
      </c>
      <c r="E472" s="41" t="s">
        <v>75</v>
      </c>
      <c r="F472" s="41" t="s">
        <v>78</v>
      </c>
      <c r="G472" s="48" t="s">
        <v>58</v>
      </c>
      <c r="H472" s="41"/>
      <c r="I472" s="41"/>
      <c r="J472" s="41"/>
      <c r="K472" s="41"/>
      <c r="L472" s="41"/>
      <c r="M472" s="41"/>
      <c r="N472" s="41"/>
      <c r="O472" s="41"/>
      <c r="P472" s="41"/>
      <c r="Q472" s="41"/>
      <c r="R472" s="41"/>
    </row>
    <row r="473" spans="1:18" x14ac:dyDescent="0.35">
      <c r="A473" s="41"/>
      <c r="B473" s="46" t="s">
        <v>23</v>
      </c>
      <c r="C473" s="57">
        <v>46950102.773999788</v>
      </c>
      <c r="D473" s="41">
        <v>2021</v>
      </c>
      <c r="E473" s="41" t="s">
        <v>75</v>
      </c>
      <c r="F473" s="41" t="s">
        <v>78</v>
      </c>
      <c r="G473" s="48" t="s">
        <v>58</v>
      </c>
      <c r="H473" s="41"/>
      <c r="I473" s="41"/>
      <c r="J473" s="41"/>
      <c r="K473" s="41"/>
      <c r="L473" s="41"/>
      <c r="M473" s="41"/>
      <c r="N473" s="41"/>
      <c r="O473" s="41"/>
      <c r="P473" s="41"/>
      <c r="Q473" s="41"/>
      <c r="R473" s="41"/>
    </row>
    <row r="474" spans="1:18" x14ac:dyDescent="0.35">
      <c r="A474" s="41"/>
      <c r="B474" s="46" t="s">
        <v>12</v>
      </c>
      <c r="C474" s="57">
        <v>71906137.624352232</v>
      </c>
      <c r="D474" s="41">
        <v>2022</v>
      </c>
      <c r="E474" s="41" t="s">
        <v>75</v>
      </c>
      <c r="F474" s="41" t="s">
        <v>78</v>
      </c>
      <c r="G474" s="48" t="s">
        <v>58</v>
      </c>
      <c r="H474" s="41"/>
      <c r="I474" s="41"/>
      <c r="J474" s="41"/>
      <c r="K474" s="41"/>
      <c r="L474" s="41"/>
      <c r="M474" s="41"/>
      <c r="N474" s="41"/>
      <c r="O474" s="41"/>
      <c r="P474" s="41"/>
      <c r="Q474" s="41"/>
      <c r="R474" s="41"/>
    </row>
    <row r="475" spans="1:18" x14ac:dyDescent="0.35">
      <c r="A475" s="41"/>
      <c r="B475" s="46" t="s">
        <v>13</v>
      </c>
      <c r="C475" s="57">
        <v>31371858.959999762</v>
      </c>
      <c r="D475" s="41">
        <v>2022</v>
      </c>
      <c r="E475" s="41" t="s">
        <v>75</v>
      </c>
      <c r="F475" s="41" t="s">
        <v>78</v>
      </c>
      <c r="G475" s="48" t="s">
        <v>58</v>
      </c>
      <c r="H475" s="41"/>
      <c r="I475" s="41"/>
      <c r="J475" s="41"/>
      <c r="K475" s="41"/>
      <c r="L475" s="41"/>
      <c r="M475" s="41"/>
      <c r="N475" s="41"/>
      <c r="O475" s="41"/>
      <c r="P475" s="41"/>
      <c r="Q475" s="41"/>
      <c r="R475" s="41"/>
    </row>
    <row r="476" spans="1:18" x14ac:dyDescent="0.35">
      <c r="A476" s="41"/>
      <c r="B476" s="46" t="s">
        <v>14</v>
      </c>
      <c r="C476" s="57">
        <v>15641975.91999978</v>
      </c>
      <c r="D476" s="41">
        <v>2022</v>
      </c>
      <c r="E476" s="41" t="s">
        <v>75</v>
      </c>
      <c r="F476" s="41" t="s">
        <v>78</v>
      </c>
      <c r="G476" s="48" t="s">
        <v>58</v>
      </c>
      <c r="H476" s="41"/>
      <c r="I476" s="41"/>
      <c r="J476" s="41"/>
      <c r="K476" s="41"/>
      <c r="L476" s="41"/>
      <c r="M476" s="41"/>
      <c r="N476" s="41"/>
      <c r="O476" s="41"/>
      <c r="P476" s="41"/>
      <c r="Q476" s="41"/>
      <c r="R476" s="41"/>
    </row>
    <row r="477" spans="1:18" x14ac:dyDescent="0.35">
      <c r="A477" s="41"/>
      <c r="B477" s="46" t="s">
        <v>15</v>
      </c>
      <c r="C477" s="57">
        <v>6805793.480000074</v>
      </c>
      <c r="D477" s="41">
        <v>2022</v>
      </c>
      <c r="E477" s="41" t="s">
        <v>75</v>
      </c>
      <c r="F477" s="41" t="s">
        <v>78</v>
      </c>
      <c r="G477" s="48" t="s">
        <v>58</v>
      </c>
      <c r="H477" s="41"/>
      <c r="I477" s="41"/>
      <c r="J477" s="41"/>
      <c r="K477" s="41"/>
      <c r="L477" s="41"/>
      <c r="M477" s="41"/>
      <c r="N477" s="41"/>
      <c r="O477" s="41"/>
      <c r="P477" s="41"/>
      <c r="Q477" s="41"/>
      <c r="R477" s="41"/>
    </row>
    <row r="478" spans="1:18" x14ac:dyDescent="0.35">
      <c r="A478" s="41"/>
      <c r="B478" s="51" t="s">
        <v>16</v>
      </c>
      <c r="C478" s="58">
        <v>5000066.3199999938</v>
      </c>
      <c r="D478" s="53">
        <v>2022</v>
      </c>
      <c r="E478" s="53" t="s">
        <v>75</v>
      </c>
      <c r="F478" s="53" t="s">
        <v>78</v>
      </c>
      <c r="G478" s="54" t="s">
        <v>58</v>
      </c>
      <c r="H478" s="41"/>
      <c r="I478" s="41"/>
      <c r="J478" s="41"/>
      <c r="K478" s="41"/>
      <c r="L478" s="41"/>
      <c r="M478" s="41"/>
      <c r="N478" s="41"/>
      <c r="O478" s="41"/>
      <c r="P478" s="41"/>
      <c r="Q478" s="41"/>
      <c r="R478" s="41"/>
    </row>
    <row r="479" spans="1:18" x14ac:dyDescent="0.35">
      <c r="A479" s="41"/>
      <c r="B479" s="46" t="s">
        <v>12</v>
      </c>
      <c r="C479" s="57">
        <v>12112802.840799998</v>
      </c>
      <c r="D479" s="41">
        <v>2021</v>
      </c>
      <c r="E479" s="41" t="s">
        <v>76</v>
      </c>
      <c r="F479" s="41" t="s">
        <v>78</v>
      </c>
      <c r="G479" s="48" t="s">
        <v>58</v>
      </c>
      <c r="H479" s="41"/>
      <c r="I479" s="41"/>
      <c r="J479" s="41"/>
      <c r="K479" s="41"/>
      <c r="L479" s="41"/>
      <c r="M479" s="41"/>
      <c r="N479" s="41"/>
      <c r="O479" s="41"/>
      <c r="P479" s="41"/>
      <c r="Q479" s="41"/>
      <c r="R479" s="41"/>
    </row>
    <row r="480" spans="1:18" x14ac:dyDescent="0.35">
      <c r="A480" s="41"/>
      <c r="B480" s="46" t="s">
        <v>13</v>
      </c>
      <c r="C480" s="57">
        <v>17535734.876400072</v>
      </c>
      <c r="D480" s="41">
        <v>2021</v>
      </c>
      <c r="E480" s="41" t="s">
        <v>76</v>
      </c>
      <c r="F480" s="41" t="s">
        <v>78</v>
      </c>
      <c r="G480" s="48" t="s">
        <v>58</v>
      </c>
      <c r="H480" s="41"/>
      <c r="I480" s="41"/>
      <c r="J480" s="41"/>
      <c r="K480" s="41"/>
      <c r="L480" s="41"/>
      <c r="M480" s="41"/>
      <c r="N480" s="41"/>
      <c r="O480" s="41"/>
      <c r="P480" s="41"/>
      <c r="Q480" s="41"/>
      <c r="R480" s="41"/>
    </row>
    <row r="481" spans="1:18" x14ac:dyDescent="0.35">
      <c r="A481" s="41"/>
      <c r="B481" s="46" t="s">
        <v>14</v>
      </c>
      <c r="C481" s="57">
        <v>13291998.138400739</v>
      </c>
      <c r="D481" s="41">
        <v>2021</v>
      </c>
      <c r="E481" s="41" t="s">
        <v>76</v>
      </c>
      <c r="F481" s="41" t="s">
        <v>78</v>
      </c>
      <c r="G481" s="48" t="s">
        <v>58</v>
      </c>
      <c r="H481" s="41"/>
      <c r="I481" s="41"/>
      <c r="J481" s="41"/>
      <c r="K481" s="41"/>
      <c r="L481" s="41"/>
      <c r="M481" s="41"/>
      <c r="N481" s="41"/>
      <c r="O481" s="41"/>
      <c r="P481" s="41"/>
      <c r="Q481" s="41"/>
      <c r="R481" s="41"/>
    </row>
    <row r="482" spans="1:18" x14ac:dyDescent="0.35">
      <c r="A482" s="41"/>
      <c r="B482" s="46" t="s">
        <v>15</v>
      </c>
      <c r="C482" s="57">
        <v>15694697.357199732</v>
      </c>
      <c r="D482" s="41">
        <v>2021</v>
      </c>
      <c r="E482" s="41" t="s">
        <v>76</v>
      </c>
      <c r="F482" s="41" t="s">
        <v>78</v>
      </c>
      <c r="G482" s="48" t="s">
        <v>58</v>
      </c>
      <c r="H482" s="41"/>
      <c r="I482" s="41"/>
      <c r="J482" s="41"/>
      <c r="K482" s="41"/>
      <c r="L482" s="41"/>
      <c r="M482" s="41"/>
      <c r="N482" s="41"/>
      <c r="O482" s="41"/>
      <c r="P482" s="41"/>
      <c r="Q482" s="41"/>
      <c r="R482" s="41"/>
    </row>
    <row r="483" spans="1:18" x14ac:dyDescent="0.35">
      <c r="A483" s="41"/>
      <c r="B483" s="46" t="s">
        <v>16</v>
      </c>
      <c r="C483" s="57">
        <v>16258451.619199825</v>
      </c>
      <c r="D483" s="41">
        <v>2021</v>
      </c>
      <c r="E483" s="41" t="s">
        <v>76</v>
      </c>
      <c r="F483" s="41" t="s">
        <v>78</v>
      </c>
      <c r="G483" s="48" t="s">
        <v>58</v>
      </c>
      <c r="H483" s="41"/>
      <c r="I483" s="41"/>
      <c r="J483" s="41"/>
      <c r="K483" s="41"/>
      <c r="L483" s="41"/>
      <c r="M483" s="41"/>
      <c r="N483" s="41"/>
      <c r="O483" s="41"/>
      <c r="P483" s="41"/>
      <c r="Q483" s="41"/>
      <c r="R483" s="41"/>
    </row>
    <row r="484" spans="1:18" x14ac:dyDescent="0.35">
      <c r="A484" s="41"/>
      <c r="B484" s="46" t="s">
        <v>17</v>
      </c>
      <c r="C484" s="57">
        <v>17249429.93519989</v>
      </c>
      <c r="D484" s="41">
        <v>2021</v>
      </c>
      <c r="E484" s="41" t="s">
        <v>76</v>
      </c>
      <c r="F484" s="41" t="s">
        <v>78</v>
      </c>
      <c r="G484" s="48" t="s">
        <v>58</v>
      </c>
      <c r="H484" s="41"/>
      <c r="I484" s="41"/>
      <c r="J484" s="41"/>
      <c r="K484" s="41"/>
      <c r="L484" s="41"/>
      <c r="M484" s="41"/>
      <c r="N484" s="41"/>
      <c r="O484" s="41"/>
      <c r="P484" s="41"/>
      <c r="Q484" s="41"/>
      <c r="R484" s="41"/>
    </row>
    <row r="485" spans="1:18" x14ac:dyDescent="0.35">
      <c r="A485" s="41"/>
      <c r="B485" s="46" t="s">
        <v>18</v>
      </c>
      <c r="C485" s="57">
        <v>17475260.150399815</v>
      </c>
      <c r="D485" s="41">
        <v>2021</v>
      </c>
      <c r="E485" s="41" t="s">
        <v>76</v>
      </c>
      <c r="F485" s="41" t="s">
        <v>78</v>
      </c>
      <c r="G485" s="48" t="s">
        <v>58</v>
      </c>
      <c r="H485" s="41"/>
      <c r="I485" s="41"/>
      <c r="J485" s="41"/>
      <c r="K485" s="41"/>
      <c r="L485" s="41"/>
      <c r="M485" s="41"/>
      <c r="N485" s="41"/>
      <c r="O485" s="41"/>
      <c r="P485" s="41"/>
      <c r="Q485" s="41"/>
      <c r="R485" s="41"/>
    </row>
    <row r="486" spans="1:18" x14ac:dyDescent="0.35">
      <c r="A486" s="41"/>
      <c r="B486" s="46" t="s">
        <v>19</v>
      </c>
      <c r="C486" s="57">
        <v>21444563.717599567</v>
      </c>
      <c r="D486" s="41">
        <v>2021</v>
      </c>
      <c r="E486" s="41" t="s">
        <v>76</v>
      </c>
      <c r="F486" s="41" t="s">
        <v>78</v>
      </c>
      <c r="G486" s="48" t="s">
        <v>58</v>
      </c>
      <c r="H486" s="41"/>
      <c r="I486" s="41"/>
      <c r="J486" s="41"/>
      <c r="K486" s="41"/>
      <c r="L486" s="41"/>
      <c r="M486" s="41"/>
      <c r="N486" s="41"/>
      <c r="O486" s="41"/>
      <c r="P486" s="41"/>
      <c r="Q486" s="41"/>
      <c r="R486" s="41"/>
    </row>
    <row r="487" spans="1:18" x14ac:dyDescent="0.35">
      <c r="A487" s="41"/>
      <c r="B487" s="46" t="s">
        <v>20</v>
      </c>
      <c r="C487" s="57">
        <v>17923502.895999633</v>
      </c>
      <c r="D487" s="41">
        <v>2021</v>
      </c>
      <c r="E487" s="41" t="s">
        <v>76</v>
      </c>
      <c r="F487" s="41" t="s">
        <v>78</v>
      </c>
      <c r="G487" s="48" t="s">
        <v>58</v>
      </c>
      <c r="H487" s="41"/>
      <c r="I487" s="41"/>
      <c r="J487" s="41"/>
      <c r="K487" s="41"/>
      <c r="L487" s="41"/>
      <c r="M487" s="41"/>
      <c r="N487" s="41"/>
      <c r="O487" s="41"/>
      <c r="P487" s="41"/>
      <c r="Q487" s="41"/>
      <c r="R487" s="41"/>
    </row>
    <row r="488" spans="1:18" x14ac:dyDescent="0.35">
      <c r="A488" s="41"/>
      <c r="B488" s="46" t="s">
        <v>21</v>
      </c>
      <c r="C488" s="57">
        <v>21216027.500799071</v>
      </c>
      <c r="D488" s="41">
        <v>2021</v>
      </c>
      <c r="E488" s="41" t="s">
        <v>76</v>
      </c>
      <c r="F488" s="41" t="s">
        <v>78</v>
      </c>
      <c r="G488" s="48" t="s">
        <v>58</v>
      </c>
      <c r="H488" s="41"/>
      <c r="I488" s="41"/>
      <c r="J488" s="41"/>
      <c r="K488" s="41"/>
      <c r="L488" s="41"/>
      <c r="M488" s="41"/>
      <c r="N488" s="41"/>
      <c r="O488" s="41"/>
      <c r="P488" s="41"/>
      <c r="Q488" s="41"/>
      <c r="R488" s="41"/>
    </row>
    <row r="489" spans="1:18" x14ac:dyDescent="0.35">
      <c r="A489" s="41"/>
      <c r="B489" s="46" t="s">
        <v>22</v>
      </c>
      <c r="C489" s="57">
        <v>19782082.654800698</v>
      </c>
      <c r="D489" s="41">
        <v>2021</v>
      </c>
      <c r="E489" s="41" t="s">
        <v>76</v>
      </c>
      <c r="F489" s="41" t="s">
        <v>78</v>
      </c>
      <c r="G489" s="48" t="s">
        <v>58</v>
      </c>
      <c r="H489" s="41"/>
      <c r="I489" s="41"/>
      <c r="J489" s="41"/>
      <c r="K489" s="41"/>
      <c r="L489" s="41"/>
      <c r="M489" s="41"/>
      <c r="N489" s="41"/>
      <c r="O489" s="41"/>
      <c r="P489" s="41"/>
      <c r="Q489" s="41"/>
      <c r="R489" s="41"/>
    </row>
    <row r="490" spans="1:18" x14ac:dyDescent="0.35">
      <c r="A490" s="41"/>
      <c r="B490" s="46" t="s">
        <v>23</v>
      </c>
      <c r="C490" s="57">
        <v>20357693.968800109</v>
      </c>
      <c r="D490" s="41">
        <v>2021</v>
      </c>
      <c r="E490" s="41" t="s">
        <v>76</v>
      </c>
      <c r="F490" s="41" t="s">
        <v>78</v>
      </c>
      <c r="G490" s="48" t="s">
        <v>58</v>
      </c>
      <c r="H490" s="41"/>
      <c r="I490" s="41"/>
      <c r="J490" s="41"/>
      <c r="K490" s="41"/>
      <c r="L490" s="41"/>
      <c r="M490" s="41"/>
      <c r="N490" s="41"/>
      <c r="O490" s="41"/>
      <c r="P490" s="41"/>
      <c r="Q490" s="41"/>
      <c r="R490" s="41"/>
    </row>
    <row r="491" spans="1:18" x14ac:dyDescent="0.35">
      <c r="A491" s="41"/>
      <c r="B491" s="46" t="s">
        <v>12</v>
      </c>
      <c r="C491" s="57">
        <v>14179529.943599977</v>
      </c>
      <c r="D491" s="41">
        <v>2022</v>
      </c>
      <c r="E491" s="41" t="s">
        <v>76</v>
      </c>
      <c r="F491" s="41" t="s">
        <v>78</v>
      </c>
      <c r="G491" s="48" t="s">
        <v>58</v>
      </c>
      <c r="H491" s="41"/>
      <c r="I491" s="41"/>
      <c r="J491" s="41"/>
      <c r="K491" s="41"/>
      <c r="L491" s="41"/>
      <c r="M491" s="41"/>
      <c r="N491" s="41"/>
      <c r="O491" s="41"/>
      <c r="P491" s="41"/>
      <c r="Q491" s="41"/>
      <c r="R491" s="41"/>
    </row>
    <row r="492" spans="1:18" x14ac:dyDescent="0.35">
      <c r="A492" s="41"/>
      <c r="B492" s="46" t="s">
        <v>13</v>
      </c>
      <c r="C492" s="57">
        <v>18125288.399199929</v>
      </c>
      <c r="D492" s="41">
        <v>2022</v>
      </c>
      <c r="E492" s="41" t="s">
        <v>76</v>
      </c>
      <c r="F492" s="41" t="s">
        <v>78</v>
      </c>
      <c r="G492" s="48" t="s">
        <v>58</v>
      </c>
      <c r="H492" s="41"/>
      <c r="I492" s="41"/>
      <c r="J492" s="41"/>
      <c r="K492" s="41"/>
      <c r="L492" s="41"/>
      <c r="M492" s="41"/>
      <c r="N492" s="41"/>
      <c r="O492" s="41"/>
      <c r="P492" s="41"/>
      <c r="Q492" s="41"/>
      <c r="R492" s="41"/>
    </row>
    <row r="493" spans="1:18" x14ac:dyDescent="0.35">
      <c r="A493" s="41"/>
      <c r="B493" s="46" t="s">
        <v>14</v>
      </c>
      <c r="C493" s="57">
        <v>20689953.534399983</v>
      </c>
      <c r="D493" s="41">
        <v>2022</v>
      </c>
      <c r="E493" s="41" t="s">
        <v>76</v>
      </c>
      <c r="F493" s="41" t="s">
        <v>78</v>
      </c>
      <c r="G493" s="48" t="s">
        <v>58</v>
      </c>
      <c r="H493" s="41"/>
      <c r="I493" s="41"/>
      <c r="J493" s="41"/>
      <c r="K493" s="41"/>
      <c r="L493" s="41"/>
      <c r="M493" s="41"/>
      <c r="N493" s="41"/>
      <c r="O493" s="41"/>
      <c r="P493" s="41"/>
      <c r="Q493" s="41"/>
      <c r="R493" s="41"/>
    </row>
    <row r="494" spans="1:18" x14ac:dyDescent="0.35">
      <c r="A494" s="41"/>
      <c r="B494" s="46" t="s">
        <v>15</v>
      </c>
      <c r="C494" s="57">
        <v>22663858.936000034</v>
      </c>
      <c r="D494" s="41">
        <v>2022</v>
      </c>
      <c r="E494" s="41" t="s">
        <v>76</v>
      </c>
      <c r="F494" s="41" t="s">
        <v>78</v>
      </c>
      <c r="G494" s="48" t="s">
        <v>58</v>
      </c>
      <c r="H494" s="41"/>
      <c r="I494" s="41"/>
      <c r="J494" s="41"/>
      <c r="K494" s="41"/>
      <c r="L494" s="41"/>
      <c r="M494" s="41"/>
      <c r="N494" s="41"/>
      <c r="O494" s="41"/>
      <c r="P494" s="41"/>
      <c r="Q494" s="41"/>
      <c r="R494" s="41"/>
    </row>
    <row r="495" spans="1:18" x14ac:dyDescent="0.35">
      <c r="A495" s="41"/>
      <c r="B495" s="51" t="s">
        <v>16</v>
      </c>
      <c r="C495" s="58">
        <v>18247207.470399857</v>
      </c>
      <c r="D495" s="53">
        <v>2022</v>
      </c>
      <c r="E495" s="53" t="s">
        <v>76</v>
      </c>
      <c r="F495" s="53" t="s">
        <v>78</v>
      </c>
      <c r="G495" s="54" t="s">
        <v>58</v>
      </c>
      <c r="H495" s="41"/>
      <c r="I495" s="41"/>
      <c r="J495" s="41"/>
      <c r="K495" s="41"/>
      <c r="L495" s="41"/>
      <c r="M495" s="41"/>
      <c r="N495" s="41"/>
      <c r="O495" s="41"/>
      <c r="P495" s="41"/>
      <c r="Q495" s="41"/>
      <c r="R495" s="41"/>
    </row>
    <row r="496" spans="1:18" x14ac:dyDescent="0.35">
      <c r="A496" s="41"/>
      <c r="B496" s="46" t="s">
        <v>12</v>
      </c>
      <c r="C496" s="57">
        <v>10644061.8364</v>
      </c>
      <c r="D496" s="41">
        <v>2021</v>
      </c>
      <c r="E496" s="41" t="s">
        <v>77</v>
      </c>
      <c r="F496" s="41" t="s">
        <v>78</v>
      </c>
      <c r="G496" s="48" t="s">
        <v>58</v>
      </c>
      <c r="H496" s="41"/>
      <c r="I496" s="41"/>
      <c r="J496" s="41"/>
      <c r="K496" s="41"/>
      <c r="L496" s="41"/>
      <c r="M496" s="41"/>
      <c r="N496" s="41"/>
      <c r="O496" s="41"/>
      <c r="P496" s="41"/>
      <c r="Q496" s="41"/>
      <c r="R496" s="41"/>
    </row>
    <row r="497" spans="1:18" x14ac:dyDescent="0.35">
      <c r="A497" s="41"/>
      <c r="B497" s="46" t="s">
        <v>13</v>
      </c>
      <c r="C497" s="57">
        <v>8976160.9875999987</v>
      </c>
      <c r="D497" s="41">
        <v>2021</v>
      </c>
      <c r="E497" s="41" t="s">
        <v>77</v>
      </c>
      <c r="F497" s="41" t="s">
        <v>78</v>
      </c>
      <c r="G497" s="48" t="s">
        <v>58</v>
      </c>
      <c r="H497" s="41"/>
      <c r="I497" s="41"/>
      <c r="J497" s="41"/>
      <c r="K497" s="41"/>
      <c r="L497" s="41"/>
      <c r="M497" s="41"/>
      <c r="N497" s="41"/>
      <c r="O497" s="41"/>
      <c r="P497" s="41"/>
      <c r="Q497" s="41"/>
      <c r="R497" s="41"/>
    </row>
    <row r="498" spans="1:18" x14ac:dyDescent="0.35">
      <c r="A498" s="41"/>
      <c r="B498" s="46" t="s">
        <v>14</v>
      </c>
      <c r="C498" s="57">
        <v>6173941.3575999998</v>
      </c>
      <c r="D498" s="41">
        <v>2021</v>
      </c>
      <c r="E498" s="41" t="s">
        <v>77</v>
      </c>
      <c r="F498" s="41" t="s">
        <v>78</v>
      </c>
      <c r="G498" s="48" t="s">
        <v>58</v>
      </c>
      <c r="H498" s="41"/>
      <c r="I498" s="41"/>
      <c r="J498" s="41"/>
      <c r="K498" s="41"/>
      <c r="L498" s="41"/>
      <c r="M498" s="41"/>
      <c r="N498" s="41"/>
      <c r="O498" s="41"/>
      <c r="P498" s="41"/>
      <c r="Q498" s="41"/>
      <c r="R498" s="41"/>
    </row>
    <row r="499" spans="1:18" x14ac:dyDescent="0.35">
      <c r="A499" s="41"/>
      <c r="B499" s="46" t="s">
        <v>15</v>
      </c>
      <c r="C499" s="57">
        <v>11578460.678399999</v>
      </c>
      <c r="D499" s="41">
        <v>2021</v>
      </c>
      <c r="E499" s="41" t="s">
        <v>77</v>
      </c>
      <c r="F499" s="41" t="s">
        <v>78</v>
      </c>
      <c r="G499" s="48" t="s">
        <v>58</v>
      </c>
      <c r="H499" s="41"/>
      <c r="I499" s="41"/>
      <c r="J499" s="41"/>
      <c r="K499" s="41"/>
      <c r="L499" s="41"/>
      <c r="M499" s="41"/>
      <c r="N499" s="41"/>
      <c r="O499" s="41"/>
      <c r="P499" s="41"/>
      <c r="Q499" s="41"/>
      <c r="R499" s="41"/>
    </row>
    <row r="500" spans="1:18" x14ac:dyDescent="0.35">
      <c r="A500" s="41"/>
      <c r="B500" s="46" t="s">
        <v>16</v>
      </c>
      <c r="C500" s="57">
        <v>193301.55320000075</v>
      </c>
      <c r="D500" s="41">
        <v>2021</v>
      </c>
      <c r="E500" s="41" t="s">
        <v>77</v>
      </c>
      <c r="F500" s="41" t="s">
        <v>78</v>
      </c>
      <c r="G500" s="48" t="s">
        <v>58</v>
      </c>
      <c r="H500" s="41"/>
      <c r="I500" s="41"/>
      <c r="J500" s="41"/>
      <c r="K500" s="41"/>
      <c r="L500" s="41"/>
      <c r="M500" s="41"/>
      <c r="N500" s="41"/>
      <c r="O500" s="41"/>
      <c r="P500" s="41"/>
      <c r="Q500" s="41"/>
      <c r="R500" s="41"/>
    </row>
    <row r="501" spans="1:18" x14ac:dyDescent="0.35">
      <c r="A501" s="41"/>
      <c r="B501" s="46" t="s">
        <v>17</v>
      </c>
      <c r="C501" s="57">
        <v>10981411.8576</v>
      </c>
      <c r="D501" s="41">
        <v>2021</v>
      </c>
      <c r="E501" s="41" t="s">
        <v>77</v>
      </c>
      <c r="F501" s="41" t="s">
        <v>78</v>
      </c>
      <c r="G501" s="48" t="s">
        <v>58</v>
      </c>
      <c r="H501" s="41"/>
      <c r="I501" s="41"/>
      <c r="J501" s="41"/>
      <c r="K501" s="41"/>
      <c r="L501" s="41"/>
      <c r="M501" s="41"/>
      <c r="N501" s="41"/>
      <c r="O501" s="41"/>
      <c r="P501" s="41"/>
      <c r="Q501" s="41"/>
      <c r="R501" s="41"/>
    </row>
    <row r="502" spans="1:18" x14ac:dyDescent="0.35">
      <c r="A502" s="41"/>
      <c r="B502" s="46" t="s">
        <v>18</v>
      </c>
      <c r="C502" s="57">
        <v>6475358.7975999974</v>
      </c>
      <c r="D502" s="41">
        <v>2021</v>
      </c>
      <c r="E502" s="41" t="s">
        <v>77</v>
      </c>
      <c r="F502" s="41" t="s">
        <v>78</v>
      </c>
      <c r="G502" s="48" t="s">
        <v>58</v>
      </c>
      <c r="H502" s="41"/>
      <c r="I502" s="41"/>
      <c r="J502" s="41"/>
      <c r="K502" s="41"/>
      <c r="L502" s="41"/>
      <c r="M502" s="41"/>
      <c r="N502" s="41"/>
      <c r="O502" s="41"/>
      <c r="P502" s="41"/>
      <c r="Q502" s="41"/>
      <c r="R502" s="41"/>
    </row>
    <row r="503" spans="1:18" x14ac:dyDescent="0.35">
      <c r="A503" s="41"/>
      <c r="B503" s="46" t="s">
        <v>19</v>
      </c>
      <c r="C503" s="57">
        <v>6175851.8320000013</v>
      </c>
      <c r="D503" s="41">
        <v>2021</v>
      </c>
      <c r="E503" s="41" t="s">
        <v>77</v>
      </c>
      <c r="F503" s="41" t="s">
        <v>78</v>
      </c>
      <c r="G503" s="48" t="s">
        <v>58</v>
      </c>
      <c r="H503" s="41"/>
      <c r="I503" s="41"/>
      <c r="J503" s="41"/>
      <c r="K503" s="41"/>
      <c r="L503" s="41"/>
      <c r="M503" s="41"/>
      <c r="N503" s="41"/>
      <c r="O503" s="41"/>
      <c r="P503" s="41"/>
      <c r="Q503" s="41"/>
      <c r="R503" s="41"/>
    </row>
    <row r="504" spans="1:18" x14ac:dyDescent="0.35">
      <c r="A504" s="41"/>
      <c r="B504" s="46" t="s">
        <v>20</v>
      </c>
      <c r="C504" s="57">
        <v>6662146.6607999913</v>
      </c>
      <c r="D504" s="41">
        <v>2021</v>
      </c>
      <c r="E504" s="41" t="s">
        <v>77</v>
      </c>
      <c r="F504" s="41" t="s">
        <v>78</v>
      </c>
      <c r="G504" s="48" t="s">
        <v>58</v>
      </c>
      <c r="H504" s="41"/>
      <c r="I504" s="41"/>
      <c r="J504" s="41"/>
      <c r="K504" s="41"/>
      <c r="L504" s="41"/>
      <c r="M504" s="41"/>
      <c r="N504" s="41"/>
      <c r="O504" s="41"/>
      <c r="P504" s="41"/>
      <c r="Q504" s="41"/>
      <c r="R504" s="41"/>
    </row>
    <row r="505" spans="1:18" x14ac:dyDescent="0.35">
      <c r="A505" s="41"/>
      <c r="B505" s="46" t="s">
        <v>21</v>
      </c>
      <c r="C505" s="57">
        <v>5804901.0199999996</v>
      </c>
      <c r="D505" s="41">
        <v>2021</v>
      </c>
      <c r="E505" s="41" t="s">
        <v>77</v>
      </c>
      <c r="F505" s="41" t="s">
        <v>78</v>
      </c>
      <c r="G505" s="48" t="s">
        <v>58</v>
      </c>
      <c r="H505" s="41"/>
      <c r="I505" s="41"/>
      <c r="J505" s="41"/>
      <c r="K505" s="41"/>
      <c r="L505" s="41"/>
      <c r="M505" s="41"/>
      <c r="N505" s="41"/>
      <c r="O505" s="41"/>
      <c r="P505" s="41"/>
      <c r="Q505" s="41"/>
      <c r="R505" s="41"/>
    </row>
    <row r="506" spans="1:18" x14ac:dyDescent="0.35">
      <c r="A506" s="41"/>
      <c r="B506" s="46" t="s">
        <v>22</v>
      </c>
      <c r="C506" s="57">
        <v>6689257.4499999993</v>
      </c>
      <c r="D506" s="41">
        <v>2021</v>
      </c>
      <c r="E506" s="41" t="s">
        <v>77</v>
      </c>
      <c r="F506" s="41" t="s">
        <v>78</v>
      </c>
      <c r="G506" s="48" t="s">
        <v>58</v>
      </c>
      <c r="H506" s="41"/>
      <c r="I506" s="41"/>
      <c r="J506" s="41"/>
      <c r="K506" s="41"/>
      <c r="L506" s="41"/>
      <c r="M506" s="41"/>
      <c r="N506" s="41"/>
      <c r="O506" s="41"/>
      <c r="P506" s="41"/>
      <c r="Q506" s="41"/>
      <c r="R506" s="41"/>
    </row>
    <row r="507" spans="1:18" x14ac:dyDescent="0.35">
      <c r="A507" s="41"/>
      <c r="B507" s="46" t="s">
        <v>23</v>
      </c>
      <c r="C507" s="57">
        <v>5748967.4935999997</v>
      </c>
      <c r="D507" s="41">
        <v>2021</v>
      </c>
      <c r="E507" s="41" t="s">
        <v>77</v>
      </c>
      <c r="F507" s="41" t="s">
        <v>78</v>
      </c>
      <c r="G507" s="48" t="s">
        <v>58</v>
      </c>
      <c r="H507" s="41"/>
      <c r="I507" s="41"/>
      <c r="J507" s="41"/>
      <c r="K507" s="41"/>
      <c r="L507" s="41"/>
      <c r="M507" s="41"/>
      <c r="N507" s="41"/>
      <c r="O507" s="41"/>
      <c r="P507" s="41"/>
      <c r="Q507" s="41"/>
      <c r="R507" s="41"/>
    </row>
    <row r="508" spans="1:18" x14ac:dyDescent="0.35">
      <c r="A508" s="41"/>
      <c r="B508" s="46" t="s">
        <v>12</v>
      </c>
      <c r="C508" s="57">
        <v>8638881.6600000001</v>
      </c>
      <c r="D508" s="41">
        <v>2022</v>
      </c>
      <c r="E508" s="41" t="s">
        <v>77</v>
      </c>
      <c r="F508" s="41" t="s">
        <v>78</v>
      </c>
      <c r="G508" s="48" t="s">
        <v>58</v>
      </c>
      <c r="H508" s="41"/>
      <c r="I508" s="41"/>
      <c r="J508" s="41"/>
      <c r="K508" s="41"/>
      <c r="L508" s="41"/>
      <c r="M508" s="41"/>
      <c r="N508" s="41"/>
      <c r="O508" s="41"/>
      <c r="P508" s="41"/>
      <c r="Q508" s="41"/>
      <c r="R508" s="41"/>
    </row>
    <row r="509" spans="1:18" x14ac:dyDescent="0.35">
      <c r="A509" s="41"/>
      <c r="B509" s="46" t="s">
        <v>13</v>
      </c>
      <c r="C509" s="57">
        <v>6164100.4863999998</v>
      </c>
      <c r="D509" s="41">
        <v>2022</v>
      </c>
      <c r="E509" s="41" t="s">
        <v>77</v>
      </c>
      <c r="F509" s="41" t="s">
        <v>78</v>
      </c>
      <c r="G509" s="48" t="s">
        <v>58</v>
      </c>
      <c r="H509" s="41"/>
      <c r="I509" s="41"/>
      <c r="J509" s="41"/>
      <c r="K509" s="41"/>
      <c r="L509" s="41"/>
      <c r="M509" s="41"/>
      <c r="N509" s="41"/>
      <c r="O509" s="41"/>
      <c r="P509" s="41"/>
      <c r="Q509" s="41"/>
      <c r="R509" s="41"/>
    </row>
    <row r="510" spans="1:18" x14ac:dyDescent="0.35">
      <c r="A510" s="41"/>
      <c r="B510" s="46" t="s">
        <v>14</v>
      </c>
      <c r="C510" s="57">
        <v>6154547.9863999886</v>
      </c>
      <c r="D510" s="41">
        <v>2022</v>
      </c>
      <c r="E510" s="41" t="s">
        <v>77</v>
      </c>
      <c r="F510" s="41" t="s">
        <v>78</v>
      </c>
      <c r="G510" s="48" t="s">
        <v>58</v>
      </c>
      <c r="H510" s="41"/>
      <c r="I510" s="41"/>
      <c r="J510" s="41"/>
      <c r="K510" s="41"/>
      <c r="L510" s="41"/>
      <c r="M510" s="41"/>
      <c r="N510" s="41"/>
      <c r="O510" s="41"/>
      <c r="P510" s="41"/>
      <c r="Q510" s="41"/>
      <c r="R510" s="41"/>
    </row>
    <row r="511" spans="1:18" x14ac:dyDescent="0.35">
      <c r="A511" s="41"/>
      <c r="B511" s="46" t="s">
        <v>15</v>
      </c>
      <c r="C511" s="57">
        <v>6208374.0055999998</v>
      </c>
      <c r="D511" s="41">
        <v>2022</v>
      </c>
      <c r="E511" s="41" t="s">
        <v>77</v>
      </c>
      <c r="F511" s="41" t="s">
        <v>78</v>
      </c>
      <c r="G511" s="48" t="s">
        <v>58</v>
      </c>
      <c r="H511" s="41"/>
      <c r="I511" s="41"/>
      <c r="J511" s="41"/>
      <c r="K511" s="41"/>
      <c r="L511" s="41"/>
      <c r="M511" s="41"/>
      <c r="N511" s="41"/>
      <c r="O511" s="41"/>
      <c r="P511" s="41"/>
      <c r="Q511" s="41"/>
      <c r="R511" s="41"/>
    </row>
    <row r="512" spans="1:18" ht="18" thickBot="1" x14ac:dyDescent="0.4">
      <c r="A512" s="41"/>
      <c r="B512" s="59" t="s">
        <v>16</v>
      </c>
      <c r="C512" s="64">
        <v>6000000</v>
      </c>
      <c r="D512" s="61">
        <v>2022</v>
      </c>
      <c r="E512" s="61" t="s">
        <v>77</v>
      </c>
      <c r="F512" s="61" t="s">
        <v>78</v>
      </c>
      <c r="G512" s="62" t="s">
        <v>58</v>
      </c>
      <c r="H512" s="41"/>
      <c r="I512" s="41"/>
      <c r="J512" s="41"/>
      <c r="K512" s="41"/>
      <c r="L512" s="41"/>
      <c r="M512" s="41"/>
      <c r="N512" s="41"/>
      <c r="O512" s="41"/>
      <c r="P512" s="41"/>
      <c r="Q512" s="41"/>
      <c r="R512" s="41"/>
    </row>
    <row r="513" spans="3:3" x14ac:dyDescent="0.35">
      <c r="C513" s="2"/>
    </row>
    <row r="514" spans="3:3" x14ac:dyDescent="0.35">
      <c r="C514" s="2"/>
    </row>
    <row r="515" spans="3:3" x14ac:dyDescent="0.35">
      <c r="C515" s="2"/>
    </row>
    <row r="516" spans="3:3" x14ac:dyDescent="0.35">
      <c r="C516" s="2"/>
    </row>
    <row r="517" spans="3:3" x14ac:dyDescent="0.35">
      <c r="C517" s="2"/>
    </row>
    <row r="518" spans="3:3" x14ac:dyDescent="0.35">
      <c r="C518" s="2"/>
    </row>
    <row r="519" spans="3:3" x14ac:dyDescent="0.35">
      <c r="C519" s="2"/>
    </row>
    <row r="520" spans="3:3" x14ac:dyDescent="0.35">
      <c r="C520" s="2"/>
    </row>
    <row r="521" spans="3:3" x14ac:dyDescent="0.35">
      <c r="C521" s="2"/>
    </row>
    <row r="522" spans="3:3" x14ac:dyDescent="0.35">
      <c r="C522" s="2"/>
    </row>
    <row r="523" spans="3:3" x14ac:dyDescent="0.35">
      <c r="C523" s="2"/>
    </row>
    <row r="524" spans="3:3" x14ac:dyDescent="0.35">
      <c r="C524" s="2"/>
    </row>
    <row r="525" spans="3:3" x14ac:dyDescent="0.35">
      <c r="C525" s="2"/>
    </row>
    <row r="526" spans="3:3" x14ac:dyDescent="0.35">
      <c r="C526" s="2"/>
    </row>
    <row r="527" spans="3:3" x14ac:dyDescent="0.35">
      <c r="C527" s="2"/>
    </row>
    <row r="528" spans="3:3" x14ac:dyDescent="0.35">
      <c r="C528" s="2"/>
    </row>
    <row r="529" spans="3:3" x14ac:dyDescent="0.35">
      <c r="C529" s="2"/>
    </row>
    <row r="530" spans="3:3" x14ac:dyDescent="0.35">
      <c r="C530" s="2"/>
    </row>
    <row r="531" spans="3:3" x14ac:dyDescent="0.35">
      <c r="C531" s="2"/>
    </row>
    <row r="532" spans="3:3" x14ac:dyDescent="0.35">
      <c r="C532" s="2"/>
    </row>
    <row r="533" spans="3:3" x14ac:dyDescent="0.35">
      <c r="C533" s="2"/>
    </row>
    <row r="534" spans="3:3" x14ac:dyDescent="0.35">
      <c r="C534" s="2"/>
    </row>
    <row r="535" spans="3:3" x14ac:dyDescent="0.35">
      <c r="C535" s="2"/>
    </row>
    <row r="536" spans="3:3" x14ac:dyDescent="0.35">
      <c r="C536" s="2"/>
    </row>
    <row r="537" spans="3:3" x14ac:dyDescent="0.35">
      <c r="C537" s="2"/>
    </row>
    <row r="538" spans="3:3" x14ac:dyDescent="0.35">
      <c r="C538" s="2"/>
    </row>
    <row r="539" spans="3:3" x14ac:dyDescent="0.35">
      <c r="C539" s="2"/>
    </row>
    <row r="540" spans="3:3" x14ac:dyDescent="0.35">
      <c r="C540" s="2"/>
    </row>
    <row r="541" spans="3:3" x14ac:dyDescent="0.35">
      <c r="C541" s="2"/>
    </row>
    <row r="542" spans="3:3" x14ac:dyDescent="0.35">
      <c r="C542" s="2"/>
    </row>
    <row r="543" spans="3:3" x14ac:dyDescent="0.35">
      <c r="C543" s="2"/>
    </row>
    <row r="544" spans="3:3" x14ac:dyDescent="0.35">
      <c r="C544" s="2"/>
    </row>
    <row r="545" spans="2:3" x14ac:dyDescent="0.35">
      <c r="C545" s="2"/>
    </row>
    <row r="546" spans="2:3" x14ac:dyDescent="0.35">
      <c r="C546" s="2"/>
    </row>
    <row r="547" spans="2:3" x14ac:dyDescent="0.35">
      <c r="C547" s="2"/>
    </row>
    <row r="548" spans="2:3" x14ac:dyDescent="0.35">
      <c r="C548" s="2"/>
    </row>
    <row r="549" spans="2:3" x14ac:dyDescent="0.35">
      <c r="C549" s="2"/>
    </row>
    <row r="550" spans="2:3" x14ac:dyDescent="0.35">
      <c r="C550" s="2"/>
    </row>
    <row r="551" spans="2:3" x14ac:dyDescent="0.35">
      <c r="C551" s="2"/>
    </row>
    <row r="552" spans="2:3" x14ac:dyDescent="0.35">
      <c r="C552" s="2"/>
    </row>
    <row r="553" spans="2:3" x14ac:dyDescent="0.35">
      <c r="C553" s="2"/>
    </row>
    <row r="554" spans="2:3" x14ac:dyDescent="0.35">
      <c r="C554" s="2"/>
    </row>
    <row r="555" spans="2:3" x14ac:dyDescent="0.35">
      <c r="C555" s="2"/>
    </row>
    <row r="556" spans="2:3" x14ac:dyDescent="0.35">
      <c r="C556" s="2"/>
    </row>
    <row r="557" spans="2:3" x14ac:dyDescent="0.35">
      <c r="C557" s="2"/>
    </row>
    <row r="558" spans="2:3" x14ac:dyDescent="0.35">
      <c r="B558" s="5"/>
      <c r="C558" s="2"/>
    </row>
    <row r="559" spans="2:3" x14ac:dyDescent="0.35">
      <c r="C559" s="2"/>
    </row>
    <row r="560" spans="2:3" x14ac:dyDescent="0.35">
      <c r="C560" s="2"/>
    </row>
    <row r="561" spans="3:3" x14ac:dyDescent="0.35">
      <c r="C561" s="2"/>
    </row>
    <row r="562" spans="3:3" x14ac:dyDescent="0.35">
      <c r="C562" s="2"/>
    </row>
    <row r="563" spans="3:3" x14ac:dyDescent="0.35">
      <c r="C563" s="2"/>
    </row>
    <row r="564" spans="3:3" x14ac:dyDescent="0.35">
      <c r="C564" s="2"/>
    </row>
    <row r="565" spans="3:3" x14ac:dyDescent="0.35">
      <c r="C565" s="2"/>
    </row>
    <row r="566" spans="3:3" x14ac:dyDescent="0.35">
      <c r="C566" s="2"/>
    </row>
    <row r="567" spans="3:3" x14ac:dyDescent="0.35">
      <c r="C567" s="2"/>
    </row>
    <row r="568" spans="3:3" x14ac:dyDescent="0.35">
      <c r="C568" s="2"/>
    </row>
    <row r="569" spans="3:3" x14ac:dyDescent="0.35">
      <c r="C569" s="2"/>
    </row>
    <row r="570" spans="3:3" x14ac:dyDescent="0.35">
      <c r="C570" s="2"/>
    </row>
    <row r="571" spans="3:3" x14ac:dyDescent="0.35">
      <c r="C571" s="2"/>
    </row>
    <row r="572" spans="3:3" x14ac:dyDescent="0.35">
      <c r="C572" s="2"/>
    </row>
    <row r="573" spans="3:3" x14ac:dyDescent="0.35">
      <c r="C573" s="2"/>
    </row>
    <row r="574" spans="3:3" x14ac:dyDescent="0.35">
      <c r="C574" s="2"/>
    </row>
    <row r="575" spans="3:3" x14ac:dyDescent="0.35">
      <c r="C575" s="2"/>
    </row>
    <row r="576" spans="3:3" x14ac:dyDescent="0.35">
      <c r="C576" s="2"/>
    </row>
    <row r="577" spans="3:3" x14ac:dyDescent="0.35">
      <c r="C577" s="2"/>
    </row>
    <row r="578" spans="3:3" x14ac:dyDescent="0.35">
      <c r="C578" s="2"/>
    </row>
    <row r="579" spans="3:3" x14ac:dyDescent="0.35">
      <c r="C579" s="2"/>
    </row>
    <row r="580" spans="3:3" x14ac:dyDescent="0.35">
      <c r="C580" s="2"/>
    </row>
    <row r="581" spans="3:3" x14ac:dyDescent="0.35">
      <c r="C581" s="2"/>
    </row>
    <row r="582" spans="3:3" x14ac:dyDescent="0.35">
      <c r="C582" s="2"/>
    </row>
    <row r="583" spans="3:3" x14ac:dyDescent="0.35">
      <c r="C583" s="2"/>
    </row>
    <row r="584" spans="3:3" x14ac:dyDescent="0.35">
      <c r="C584" s="2"/>
    </row>
    <row r="585" spans="3:3" x14ac:dyDescent="0.35">
      <c r="C585" s="2"/>
    </row>
    <row r="586" spans="3:3" x14ac:dyDescent="0.35">
      <c r="C586" s="2"/>
    </row>
    <row r="587" spans="3:3" x14ac:dyDescent="0.35">
      <c r="C587" s="2"/>
    </row>
    <row r="588" spans="3:3" x14ac:dyDescent="0.35">
      <c r="C588" s="2"/>
    </row>
    <row r="589" spans="3:3" x14ac:dyDescent="0.35">
      <c r="C589" s="2"/>
    </row>
    <row r="590" spans="3:3" x14ac:dyDescent="0.35">
      <c r="C590" s="2"/>
    </row>
    <row r="591" spans="3:3" x14ac:dyDescent="0.35">
      <c r="C591" s="2"/>
    </row>
    <row r="592" spans="3:3" x14ac:dyDescent="0.35">
      <c r="C592" s="2"/>
    </row>
    <row r="593" spans="3:3" x14ac:dyDescent="0.35">
      <c r="C593" s="2"/>
    </row>
    <row r="594" spans="3:3" x14ac:dyDescent="0.35">
      <c r="C594" s="2"/>
    </row>
    <row r="595" spans="3:3" x14ac:dyDescent="0.35">
      <c r="C595" s="2"/>
    </row>
    <row r="596" spans="3:3" x14ac:dyDescent="0.35">
      <c r="C596" s="2"/>
    </row>
    <row r="597" spans="3:3" x14ac:dyDescent="0.35">
      <c r="C597" s="2"/>
    </row>
    <row r="598" spans="3:3" x14ac:dyDescent="0.35">
      <c r="C598" s="2"/>
    </row>
    <row r="599" spans="3:3" x14ac:dyDescent="0.35">
      <c r="C599" s="2"/>
    </row>
    <row r="600" spans="3:3" x14ac:dyDescent="0.35">
      <c r="C600" s="2"/>
    </row>
    <row r="601" spans="3:3" x14ac:dyDescent="0.35">
      <c r="C601" s="2"/>
    </row>
    <row r="602" spans="3:3" x14ac:dyDescent="0.35">
      <c r="C602" s="2"/>
    </row>
    <row r="603" spans="3:3" x14ac:dyDescent="0.35">
      <c r="C603" s="2"/>
    </row>
    <row r="604" spans="3:3" x14ac:dyDescent="0.35">
      <c r="C604" s="2"/>
    </row>
    <row r="605" spans="3:3" x14ac:dyDescent="0.35">
      <c r="C605" s="2"/>
    </row>
    <row r="606" spans="3:3" x14ac:dyDescent="0.35">
      <c r="C606" s="2"/>
    </row>
    <row r="607" spans="3:3" x14ac:dyDescent="0.35">
      <c r="C607" s="2"/>
    </row>
    <row r="608" spans="3:3" x14ac:dyDescent="0.35">
      <c r="C608" s="2"/>
    </row>
    <row r="609" spans="3:3" x14ac:dyDescent="0.35">
      <c r="C609" s="2"/>
    </row>
    <row r="610" spans="3:3" x14ac:dyDescent="0.35">
      <c r="C610" s="2"/>
    </row>
    <row r="611" spans="3:3" x14ac:dyDescent="0.35">
      <c r="C611" s="2"/>
    </row>
    <row r="612" spans="3:3" x14ac:dyDescent="0.35">
      <c r="C612" s="2"/>
    </row>
    <row r="613" spans="3:3" x14ac:dyDescent="0.35">
      <c r="C613" s="2"/>
    </row>
    <row r="614" spans="3:3" x14ac:dyDescent="0.35">
      <c r="C614" s="2"/>
    </row>
    <row r="615" spans="3:3" x14ac:dyDescent="0.35">
      <c r="C615" s="2"/>
    </row>
    <row r="616" spans="3:3" x14ac:dyDescent="0.35">
      <c r="C616" s="2"/>
    </row>
    <row r="617" spans="3:3" x14ac:dyDescent="0.35">
      <c r="C617" s="2"/>
    </row>
    <row r="618" spans="3:3" x14ac:dyDescent="0.35">
      <c r="C618" s="2"/>
    </row>
    <row r="619" spans="3:3" x14ac:dyDescent="0.35">
      <c r="C619" s="2"/>
    </row>
    <row r="620" spans="3:3" x14ac:dyDescent="0.35">
      <c r="C620" s="2"/>
    </row>
    <row r="621" spans="3:3" x14ac:dyDescent="0.35">
      <c r="C621" s="2"/>
    </row>
    <row r="622" spans="3:3" x14ac:dyDescent="0.35">
      <c r="C622" s="2"/>
    </row>
    <row r="623" spans="3:3" x14ac:dyDescent="0.35">
      <c r="C623" s="2"/>
    </row>
    <row r="624" spans="3:3" x14ac:dyDescent="0.35">
      <c r="C624" s="2"/>
    </row>
    <row r="625" spans="3:3" x14ac:dyDescent="0.35">
      <c r="C625" s="2"/>
    </row>
    <row r="626" spans="3:3" x14ac:dyDescent="0.35">
      <c r="C626" s="2"/>
    </row>
    <row r="627" spans="3:3" x14ac:dyDescent="0.35">
      <c r="C627" s="2"/>
    </row>
    <row r="628" spans="3:3" x14ac:dyDescent="0.35">
      <c r="C628" s="2"/>
    </row>
    <row r="629" spans="3:3" x14ac:dyDescent="0.35">
      <c r="C629" s="2"/>
    </row>
    <row r="630" spans="3:3" x14ac:dyDescent="0.35">
      <c r="C630" s="2"/>
    </row>
    <row r="631" spans="3:3" x14ac:dyDescent="0.35">
      <c r="C631" s="2"/>
    </row>
    <row r="632" spans="3:3" x14ac:dyDescent="0.35">
      <c r="C632" s="2"/>
    </row>
    <row r="633" spans="3:3" x14ac:dyDescent="0.35">
      <c r="C633" s="2"/>
    </row>
    <row r="634" spans="3:3" x14ac:dyDescent="0.35">
      <c r="C634" s="2"/>
    </row>
    <row r="635" spans="3:3" x14ac:dyDescent="0.35">
      <c r="C635" s="2"/>
    </row>
    <row r="636" spans="3:3" x14ac:dyDescent="0.35">
      <c r="C636" s="2"/>
    </row>
    <row r="637" spans="3:3" x14ac:dyDescent="0.35">
      <c r="C637" s="2"/>
    </row>
    <row r="638" spans="3:3" x14ac:dyDescent="0.35">
      <c r="C638" s="2"/>
    </row>
    <row r="639" spans="3:3" x14ac:dyDescent="0.35">
      <c r="C639" s="2"/>
    </row>
    <row r="640" spans="3:3" x14ac:dyDescent="0.35">
      <c r="C640" s="2"/>
    </row>
    <row r="641" spans="3:3" x14ac:dyDescent="0.35">
      <c r="C641" s="2"/>
    </row>
    <row r="642" spans="3:3" x14ac:dyDescent="0.35">
      <c r="C642" s="2"/>
    </row>
    <row r="643" spans="3:3" x14ac:dyDescent="0.35">
      <c r="C643" s="2"/>
    </row>
    <row r="644" spans="3:3" x14ac:dyDescent="0.35">
      <c r="C644" s="2"/>
    </row>
    <row r="645" spans="3:3" x14ac:dyDescent="0.35">
      <c r="C645" s="2"/>
    </row>
    <row r="646" spans="3:3" x14ac:dyDescent="0.35">
      <c r="C646" s="2"/>
    </row>
    <row r="647" spans="3:3" x14ac:dyDescent="0.35">
      <c r="C647" s="2"/>
    </row>
    <row r="648" spans="3:3" x14ac:dyDescent="0.35">
      <c r="C648" s="2"/>
    </row>
    <row r="649" spans="3:3" x14ac:dyDescent="0.35">
      <c r="C649" s="2"/>
    </row>
    <row r="650" spans="3:3" x14ac:dyDescent="0.35">
      <c r="C650" s="2"/>
    </row>
    <row r="651" spans="3:3" x14ac:dyDescent="0.35">
      <c r="C651" s="2"/>
    </row>
    <row r="652" spans="3:3" x14ac:dyDescent="0.35">
      <c r="C652" s="2"/>
    </row>
    <row r="653" spans="3:3" x14ac:dyDescent="0.35">
      <c r="C653" s="2"/>
    </row>
    <row r="654" spans="3:3" x14ac:dyDescent="0.35">
      <c r="C654" s="2"/>
    </row>
    <row r="655" spans="3:3" x14ac:dyDescent="0.35">
      <c r="C655" s="2"/>
    </row>
    <row r="656" spans="3:3" x14ac:dyDescent="0.35">
      <c r="C656" s="2"/>
    </row>
    <row r="657" spans="3:3" x14ac:dyDescent="0.35">
      <c r="C657" s="2"/>
    </row>
    <row r="658" spans="3:3" x14ac:dyDescent="0.35">
      <c r="C658" s="2"/>
    </row>
    <row r="659" spans="3:3" x14ac:dyDescent="0.35">
      <c r="C659" s="2"/>
    </row>
    <row r="660" spans="3:3" x14ac:dyDescent="0.35">
      <c r="C660" s="2"/>
    </row>
    <row r="661" spans="3:3" x14ac:dyDescent="0.35">
      <c r="C661" s="2"/>
    </row>
    <row r="662" spans="3:3" x14ac:dyDescent="0.35">
      <c r="C662" s="2"/>
    </row>
    <row r="663" spans="3:3" x14ac:dyDescent="0.35">
      <c r="C663" s="2"/>
    </row>
    <row r="664" spans="3:3" x14ac:dyDescent="0.35">
      <c r="C664" s="2"/>
    </row>
    <row r="665" spans="3:3" x14ac:dyDescent="0.35">
      <c r="C665" s="2"/>
    </row>
    <row r="666" spans="3:3" x14ac:dyDescent="0.35">
      <c r="C666" s="2"/>
    </row>
    <row r="667" spans="3:3" x14ac:dyDescent="0.35">
      <c r="C667" s="2"/>
    </row>
    <row r="668" spans="3:3" x14ac:dyDescent="0.35">
      <c r="C668" s="2"/>
    </row>
    <row r="669" spans="3:3" x14ac:dyDescent="0.35">
      <c r="C669" s="2"/>
    </row>
    <row r="670" spans="3:3" x14ac:dyDescent="0.35">
      <c r="C670" s="2"/>
    </row>
    <row r="671" spans="3:3" x14ac:dyDescent="0.35">
      <c r="C671" s="2"/>
    </row>
    <row r="672" spans="3:3" x14ac:dyDescent="0.35">
      <c r="C672" s="2"/>
    </row>
    <row r="673" spans="3:3" x14ac:dyDescent="0.35">
      <c r="C673" s="2"/>
    </row>
    <row r="674" spans="3:3" x14ac:dyDescent="0.35">
      <c r="C674" s="2"/>
    </row>
    <row r="675" spans="3:3" x14ac:dyDescent="0.35">
      <c r="C675" s="2"/>
    </row>
    <row r="676" spans="3:3" x14ac:dyDescent="0.35">
      <c r="C676" s="2"/>
    </row>
    <row r="677" spans="3:3" x14ac:dyDescent="0.35">
      <c r="C677" s="2"/>
    </row>
    <row r="678" spans="3:3" x14ac:dyDescent="0.35">
      <c r="C678" s="2"/>
    </row>
    <row r="679" spans="3:3" x14ac:dyDescent="0.35">
      <c r="C679" s="2"/>
    </row>
    <row r="680" spans="3:3" x14ac:dyDescent="0.35">
      <c r="C680" s="2"/>
    </row>
    <row r="681" spans="3:3" x14ac:dyDescent="0.35">
      <c r="C681" s="2"/>
    </row>
    <row r="682" spans="3:3" x14ac:dyDescent="0.35">
      <c r="C682" s="2"/>
    </row>
    <row r="683" spans="3:3" x14ac:dyDescent="0.35">
      <c r="C683" s="2"/>
    </row>
    <row r="684" spans="3:3" x14ac:dyDescent="0.35">
      <c r="C684" s="2"/>
    </row>
    <row r="685" spans="3:3" x14ac:dyDescent="0.35">
      <c r="C685" s="2"/>
    </row>
    <row r="686" spans="3:3" x14ac:dyDescent="0.35">
      <c r="C686" s="2"/>
    </row>
    <row r="687" spans="3:3" x14ac:dyDescent="0.35">
      <c r="C687" s="2"/>
    </row>
    <row r="688" spans="3:3" x14ac:dyDescent="0.35">
      <c r="C688" s="2"/>
    </row>
    <row r="689" spans="3:3" x14ac:dyDescent="0.35">
      <c r="C689" s="2"/>
    </row>
    <row r="690" spans="3:3" x14ac:dyDescent="0.35">
      <c r="C690" s="2"/>
    </row>
    <row r="691" spans="3:3" x14ac:dyDescent="0.35">
      <c r="C691" s="2"/>
    </row>
    <row r="692" spans="3:3" x14ac:dyDescent="0.35">
      <c r="C692" s="2"/>
    </row>
    <row r="693" spans="3:3" x14ac:dyDescent="0.35">
      <c r="C693" s="2"/>
    </row>
    <row r="694" spans="3:3" x14ac:dyDescent="0.35">
      <c r="C694" s="2"/>
    </row>
    <row r="695" spans="3:3" x14ac:dyDescent="0.35">
      <c r="C695" s="2"/>
    </row>
    <row r="696" spans="3:3" x14ac:dyDescent="0.35">
      <c r="C696" s="2"/>
    </row>
    <row r="697" spans="3:3" x14ac:dyDescent="0.35">
      <c r="C697" s="2"/>
    </row>
    <row r="698" spans="3:3" x14ac:dyDescent="0.35">
      <c r="C698" s="2"/>
    </row>
    <row r="699" spans="3:3" x14ac:dyDescent="0.35">
      <c r="C699" s="2"/>
    </row>
    <row r="700" spans="3:3" x14ac:dyDescent="0.35">
      <c r="C700" s="2"/>
    </row>
    <row r="701" spans="3:3" x14ac:dyDescent="0.35">
      <c r="C701" s="2"/>
    </row>
    <row r="702" spans="3:3" x14ac:dyDescent="0.35">
      <c r="C702" s="2"/>
    </row>
    <row r="703" spans="3:3" x14ac:dyDescent="0.35">
      <c r="C703" s="2"/>
    </row>
    <row r="704" spans="3:3" x14ac:dyDescent="0.35">
      <c r="C704" s="2"/>
    </row>
    <row r="705" spans="3:3" x14ac:dyDescent="0.35">
      <c r="C705" s="2"/>
    </row>
    <row r="706" spans="3:3" x14ac:dyDescent="0.35">
      <c r="C706" s="2"/>
    </row>
    <row r="707" spans="3:3" x14ac:dyDescent="0.35">
      <c r="C707" s="2"/>
    </row>
    <row r="708" spans="3:3" x14ac:dyDescent="0.35">
      <c r="C708" s="2"/>
    </row>
    <row r="709" spans="3:3" x14ac:dyDescent="0.35">
      <c r="C709" s="2"/>
    </row>
    <row r="710" spans="3:3" x14ac:dyDescent="0.35">
      <c r="C710" s="2"/>
    </row>
    <row r="711" spans="3:3" x14ac:dyDescent="0.35">
      <c r="C711" s="2"/>
    </row>
    <row r="712" spans="3:3" x14ac:dyDescent="0.35">
      <c r="C712" s="2"/>
    </row>
    <row r="713" spans="3:3" x14ac:dyDescent="0.35">
      <c r="C713" s="2"/>
    </row>
    <row r="714" spans="3:3" x14ac:dyDescent="0.35">
      <c r="C714" s="2"/>
    </row>
    <row r="715" spans="3:3" x14ac:dyDescent="0.35">
      <c r="C715" s="2"/>
    </row>
    <row r="716" spans="3:3" x14ac:dyDescent="0.35">
      <c r="C716" s="2"/>
    </row>
    <row r="717" spans="3:3" x14ac:dyDescent="0.35">
      <c r="C717" s="2"/>
    </row>
    <row r="718" spans="3:3" x14ac:dyDescent="0.35">
      <c r="C718" s="2"/>
    </row>
    <row r="719" spans="3:3" x14ac:dyDescent="0.35">
      <c r="C719" s="2"/>
    </row>
    <row r="720" spans="3:3" x14ac:dyDescent="0.35">
      <c r="C720" s="2"/>
    </row>
    <row r="721" spans="3:3" x14ac:dyDescent="0.35">
      <c r="C721" s="2"/>
    </row>
    <row r="722" spans="3:3" x14ac:dyDescent="0.35">
      <c r="C722" s="2"/>
    </row>
    <row r="723" spans="3:3" x14ac:dyDescent="0.35">
      <c r="C723" s="2"/>
    </row>
    <row r="724" spans="3:3" x14ac:dyDescent="0.35">
      <c r="C724" s="2"/>
    </row>
    <row r="725" spans="3:3" x14ac:dyDescent="0.35">
      <c r="C725" s="2"/>
    </row>
    <row r="726" spans="3:3" x14ac:dyDescent="0.35">
      <c r="C726" s="2"/>
    </row>
    <row r="727" spans="3:3" x14ac:dyDescent="0.35">
      <c r="C727" s="2"/>
    </row>
    <row r="728" spans="3:3" x14ac:dyDescent="0.35">
      <c r="C728" s="2"/>
    </row>
    <row r="729" spans="3:3" x14ac:dyDescent="0.35">
      <c r="C729" s="2"/>
    </row>
    <row r="730" spans="3:3" x14ac:dyDescent="0.35">
      <c r="C730" s="2"/>
    </row>
    <row r="731" spans="3:3" x14ac:dyDescent="0.35">
      <c r="C731" s="2"/>
    </row>
    <row r="732" spans="3:3" x14ac:dyDescent="0.35">
      <c r="C732" s="2"/>
    </row>
    <row r="733" spans="3:3" x14ac:dyDescent="0.35">
      <c r="C733" s="2"/>
    </row>
    <row r="734" spans="3:3" x14ac:dyDescent="0.35">
      <c r="C734" s="2"/>
    </row>
    <row r="735" spans="3:3" x14ac:dyDescent="0.35">
      <c r="C735" s="2"/>
    </row>
    <row r="736" spans="3:3" x14ac:dyDescent="0.35">
      <c r="C736" s="2"/>
    </row>
    <row r="737" spans="3:3" x14ac:dyDescent="0.35">
      <c r="C737" s="2"/>
    </row>
    <row r="738" spans="3:3" x14ac:dyDescent="0.35">
      <c r="C738" s="2"/>
    </row>
    <row r="739" spans="3:3" x14ac:dyDescent="0.35">
      <c r="C739" s="2"/>
    </row>
    <row r="740" spans="3:3" x14ac:dyDescent="0.35">
      <c r="C740" s="2"/>
    </row>
    <row r="741" spans="3:3" x14ac:dyDescent="0.35">
      <c r="C741" s="2"/>
    </row>
    <row r="742" spans="3:3" x14ac:dyDescent="0.35">
      <c r="C742" s="2"/>
    </row>
    <row r="743" spans="3:3" x14ac:dyDescent="0.35">
      <c r="C743" s="2"/>
    </row>
    <row r="744" spans="3:3" x14ac:dyDescent="0.35">
      <c r="C744" s="2"/>
    </row>
    <row r="745" spans="3:3" x14ac:dyDescent="0.35">
      <c r="C745" s="2"/>
    </row>
    <row r="746" spans="3:3" x14ac:dyDescent="0.35">
      <c r="C746" s="2"/>
    </row>
    <row r="747" spans="3:3" x14ac:dyDescent="0.35">
      <c r="C747" s="2"/>
    </row>
    <row r="748" spans="3:3" x14ac:dyDescent="0.35">
      <c r="C748" s="2"/>
    </row>
    <row r="749" spans="3:3" x14ac:dyDescent="0.35">
      <c r="C749" s="2"/>
    </row>
    <row r="750" spans="3:3" x14ac:dyDescent="0.35">
      <c r="C750" s="2"/>
    </row>
    <row r="751" spans="3:3" x14ac:dyDescent="0.35">
      <c r="C751" s="2"/>
    </row>
    <row r="752" spans="3:3" x14ac:dyDescent="0.35">
      <c r="C752" s="2"/>
    </row>
    <row r="753" spans="3:3" x14ac:dyDescent="0.35">
      <c r="C753" s="2"/>
    </row>
    <row r="754" spans="3:3" x14ac:dyDescent="0.35">
      <c r="C754" s="2"/>
    </row>
    <row r="755" spans="3:3" x14ac:dyDescent="0.35">
      <c r="C755" s="2"/>
    </row>
    <row r="756" spans="3:3" x14ac:dyDescent="0.35">
      <c r="C756" s="2"/>
    </row>
    <row r="757" spans="3:3" x14ac:dyDescent="0.35">
      <c r="C757" s="2"/>
    </row>
    <row r="758" spans="3:3" x14ac:dyDescent="0.35">
      <c r="C758" s="2"/>
    </row>
    <row r="759" spans="3:3" x14ac:dyDescent="0.35">
      <c r="C759" s="2"/>
    </row>
    <row r="760" spans="3:3" x14ac:dyDescent="0.35">
      <c r="C760" s="2"/>
    </row>
    <row r="761" spans="3:3" x14ac:dyDescent="0.35">
      <c r="C761" s="2"/>
    </row>
    <row r="762" spans="3:3" x14ac:dyDescent="0.35">
      <c r="C762" s="2"/>
    </row>
    <row r="763" spans="3:3" x14ac:dyDescent="0.35">
      <c r="C763" s="2"/>
    </row>
    <row r="764" spans="3:3" x14ac:dyDescent="0.35">
      <c r="C764" s="2"/>
    </row>
    <row r="765" spans="3:3" x14ac:dyDescent="0.35">
      <c r="C765" s="2"/>
    </row>
    <row r="766" spans="3:3" x14ac:dyDescent="0.35">
      <c r="C766" s="2"/>
    </row>
    <row r="767" spans="3:3" x14ac:dyDescent="0.35">
      <c r="C767" s="2"/>
    </row>
    <row r="768" spans="3:3" x14ac:dyDescent="0.35">
      <c r="C768" s="2"/>
    </row>
    <row r="769" spans="3:3" x14ac:dyDescent="0.35">
      <c r="C769" s="2"/>
    </row>
    <row r="770" spans="3:3" x14ac:dyDescent="0.35">
      <c r="C770" s="2"/>
    </row>
    <row r="771" spans="3:3" x14ac:dyDescent="0.35">
      <c r="C771" s="2"/>
    </row>
    <row r="772" spans="3:3" x14ac:dyDescent="0.35">
      <c r="C772" s="2"/>
    </row>
    <row r="773" spans="3:3" x14ac:dyDescent="0.35">
      <c r="C773" s="2"/>
    </row>
    <row r="774" spans="3:3" x14ac:dyDescent="0.35">
      <c r="C774" s="2"/>
    </row>
    <row r="775" spans="3:3" x14ac:dyDescent="0.35">
      <c r="C775" s="2"/>
    </row>
    <row r="776" spans="3:3" x14ac:dyDescent="0.35">
      <c r="C776" s="2"/>
    </row>
    <row r="777" spans="3:3" x14ac:dyDescent="0.35">
      <c r="C777" s="2"/>
    </row>
    <row r="778" spans="3:3" x14ac:dyDescent="0.35">
      <c r="C778" s="2"/>
    </row>
    <row r="779" spans="3:3" x14ac:dyDescent="0.35">
      <c r="C779" s="2"/>
    </row>
    <row r="780" spans="3:3" x14ac:dyDescent="0.35">
      <c r="C780" s="2"/>
    </row>
    <row r="781" spans="3:3" x14ac:dyDescent="0.35">
      <c r="C781" s="2"/>
    </row>
    <row r="782" spans="3:3" x14ac:dyDescent="0.35">
      <c r="C782" s="2"/>
    </row>
    <row r="783" spans="3:3" x14ac:dyDescent="0.35">
      <c r="C783" s="2"/>
    </row>
    <row r="784" spans="3:3" x14ac:dyDescent="0.35">
      <c r="C784" s="2"/>
    </row>
    <row r="785" spans="3:3" x14ac:dyDescent="0.35">
      <c r="C785" s="2"/>
    </row>
    <row r="786" spans="3:3" x14ac:dyDescent="0.35">
      <c r="C786" s="2"/>
    </row>
    <row r="787" spans="3:3" x14ac:dyDescent="0.35">
      <c r="C787" s="2"/>
    </row>
    <row r="788" spans="3:3" x14ac:dyDescent="0.35">
      <c r="C788" s="2"/>
    </row>
    <row r="789" spans="3:3" x14ac:dyDescent="0.35">
      <c r="C789" s="2"/>
    </row>
    <row r="790" spans="3:3" x14ac:dyDescent="0.35">
      <c r="C790" s="2"/>
    </row>
    <row r="791" spans="3:3" x14ac:dyDescent="0.35">
      <c r="C791" s="2"/>
    </row>
    <row r="792" spans="3:3" x14ac:dyDescent="0.35">
      <c r="C792" s="2"/>
    </row>
    <row r="793" spans="3:3" x14ac:dyDescent="0.35">
      <c r="C793" s="2"/>
    </row>
    <row r="794" spans="3:3" x14ac:dyDescent="0.35">
      <c r="C794" s="2"/>
    </row>
    <row r="795" spans="3:3" x14ac:dyDescent="0.35">
      <c r="C795" s="2"/>
    </row>
    <row r="796" spans="3:3" x14ac:dyDescent="0.35">
      <c r="C796" s="2"/>
    </row>
    <row r="797" spans="3:3" x14ac:dyDescent="0.35">
      <c r="C797" s="2"/>
    </row>
    <row r="798" spans="3:3" x14ac:dyDescent="0.35">
      <c r="C798" s="2"/>
    </row>
    <row r="799" spans="3:3" x14ac:dyDescent="0.35">
      <c r="C799" s="2"/>
    </row>
    <row r="800" spans="3:3" x14ac:dyDescent="0.35">
      <c r="C800" s="2"/>
    </row>
    <row r="801" spans="3:3" x14ac:dyDescent="0.35">
      <c r="C801" s="2"/>
    </row>
    <row r="802" spans="3:3" x14ac:dyDescent="0.35">
      <c r="C802" s="2"/>
    </row>
    <row r="803" spans="3:3" x14ac:dyDescent="0.35">
      <c r="C803" s="2"/>
    </row>
    <row r="804" spans="3:3" x14ac:dyDescent="0.35">
      <c r="C804" s="2"/>
    </row>
    <row r="805" spans="3:3" x14ac:dyDescent="0.35">
      <c r="C805" s="2"/>
    </row>
    <row r="806" spans="3:3" x14ac:dyDescent="0.35">
      <c r="C806" s="2"/>
    </row>
    <row r="807" spans="3:3" x14ac:dyDescent="0.35">
      <c r="C807" s="2"/>
    </row>
    <row r="808" spans="3:3" x14ac:dyDescent="0.35">
      <c r="C808" s="2"/>
    </row>
    <row r="809" spans="3:3" x14ac:dyDescent="0.35">
      <c r="C809" s="2"/>
    </row>
    <row r="810" spans="3:3" x14ac:dyDescent="0.35">
      <c r="C810" s="2"/>
    </row>
    <row r="811" spans="3:3" x14ac:dyDescent="0.35">
      <c r="C811" s="2"/>
    </row>
    <row r="812" spans="3:3" x14ac:dyDescent="0.35">
      <c r="C812" s="2"/>
    </row>
    <row r="813" spans="3:3" x14ac:dyDescent="0.35">
      <c r="C813" s="2"/>
    </row>
    <row r="814" spans="3:3" x14ac:dyDescent="0.35">
      <c r="C814" s="2"/>
    </row>
    <row r="815" spans="3:3" x14ac:dyDescent="0.35">
      <c r="C815" s="2"/>
    </row>
    <row r="816" spans="3:3" x14ac:dyDescent="0.35">
      <c r="C816" s="2"/>
    </row>
    <row r="817" spans="3:3" x14ac:dyDescent="0.35">
      <c r="C817" s="2"/>
    </row>
    <row r="818" spans="3:3" x14ac:dyDescent="0.35">
      <c r="C818" s="2"/>
    </row>
    <row r="819" spans="3:3" x14ac:dyDescent="0.35">
      <c r="C819" s="2"/>
    </row>
    <row r="820" spans="3:3" x14ac:dyDescent="0.35">
      <c r="C820" s="2"/>
    </row>
    <row r="821" spans="3:3" x14ac:dyDescent="0.35">
      <c r="C821" s="2"/>
    </row>
    <row r="822" spans="3:3" x14ac:dyDescent="0.35">
      <c r="C822" s="2"/>
    </row>
    <row r="823" spans="3:3" x14ac:dyDescent="0.35">
      <c r="C823" s="2"/>
    </row>
    <row r="824" spans="3:3" x14ac:dyDescent="0.35">
      <c r="C824" s="2"/>
    </row>
    <row r="825" spans="3:3" x14ac:dyDescent="0.35">
      <c r="C825" s="2"/>
    </row>
    <row r="826" spans="3:3" x14ac:dyDescent="0.35">
      <c r="C826" s="2"/>
    </row>
    <row r="827" spans="3:3" x14ac:dyDescent="0.35">
      <c r="C827" s="2"/>
    </row>
    <row r="828" spans="3:3" x14ac:dyDescent="0.35">
      <c r="C828" s="2"/>
    </row>
    <row r="829" spans="3:3" x14ac:dyDescent="0.35">
      <c r="C829" s="2"/>
    </row>
    <row r="830" spans="3:3" x14ac:dyDescent="0.35">
      <c r="C830" s="2"/>
    </row>
    <row r="831" spans="3:3" x14ac:dyDescent="0.35">
      <c r="C831" s="2"/>
    </row>
    <row r="832" spans="3:3" x14ac:dyDescent="0.35">
      <c r="C832" s="2"/>
    </row>
    <row r="833" spans="3:3" x14ac:dyDescent="0.35">
      <c r="C833" s="2"/>
    </row>
    <row r="834" spans="3:3" x14ac:dyDescent="0.35">
      <c r="C834" s="2"/>
    </row>
    <row r="835" spans="3:3" x14ac:dyDescent="0.35">
      <c r="C835" s="2"/>
    </row>
    <row r="836" spans="3:3" x14ac:dyDescent="0.35">
      <c r="C836" s="2"/>
    </row>
    <row r="837" spans="3:3" x14ac:dyDescent="0.35">
      <c r="C837" s="2"/>
    </row>
    <row r="838" spans="3:3" x14ac:dyDescent="0.35">
      <c r="C838" s="2"/>
    </row>
    <row r="839" spans="3:3" x14ac:dyDescent="0.35">
      <c r="C839" s="2"/>
    </row>
    <row r="840" spans="3:3" x14ac:dyDescent="0.35">
      <c r="C840" s="2"/>
    </row>
    <row r="841" spans="3:3" x14ac:dyDescent="0.35">
      <c r="C841" s="2"/>
    </row>
    <row r="842" spans="3:3" x14ac:dyDescent="0.35">
      <c r="C842" s="2"/>
    </row>
    <row r="843" spans="3:3" x14ac:dyDescent="0.35">
      <c r="C843" s="2"/>
    </row>
    <row r="844" spans="3:3" x14ac:dyDescent="0.35">
      <c r="C844" s="2"/>
    </row>
    <row r="845" spans="3:3" x14ac:dyDescent="0.35">
      <c r="C845" s="2"/>
    </row>
    <row r="846" spans="3:3" x14ac:dyDescent="0.35">
      <c r="C846" s="2"/>
    </row>
    <row r="847" spans="3:3" x14ac:dyDescent="0.35">
      <c r="C847" s="2"/>
    </row>
    <row r="848" spans="3:3" x14ac:dyDescent="0.35">
      <c r="C848" s="2"/>
    </row>
    <row r="849" spans="3:3" x14ac:dyDescent="0.35">
      <c r="C849" s="2"/>
    </row>
    <row r="850" spans="3:3" x14ac:dyDescent="0.35">
      <c r="C850" s="2"/>
    </row>
    <row r="851" spans="3:3" x14ac:dyDescent="0.35">
      <c r="C851" s="2"/>
    </row>
    <row r="852" spans="3:3" x14ac:dyDescent="0.35">
      <c r="C852" s="2"/>
    </row>
    <row r="853" spans="3:3" x14ac:dyDescent="0.35">
      <c r="C853" s="2"/>
    </row>
    <row r="854" spans="3:3" x14ac:dyDescent="0.35">
      <c r="C854" s="2"/>
    </row>
    <row r="855" spans="3:3" x14ac:dyDescent="0.35">
      <c r="C855" s="2"/>
    </row>
    <row r="856" spans="3:3" x14ac:dyDescent="0.35">
      <c r="C856" s="2"/>
    </row>
    <row r="857" spans="3:3" x14ac:dyDescent="0.35">
      <c r="C857" s="2"/>
    </row>
    <row r="858" spans="3:3" x14ac:dyDescent="0.35">
      <c r="C858" s="2"/>
    </row>
    <row r="859" spans="3:3" x14ac:dyDescent="0.35">
      <c r="C859" s="2"/>
    </row>
    <row r="860" spans="3:3" x14ac:dyDescent="0.35">
      <c r="C860" s="2"/>
    </row>
    <row r="861" spans="3:3" x14ac:dyDescent="0.35">
      <c r="C861" s="2"/>
    </row>
    <row r="862" spans="3:3" x14ac:dyDescent="0.35">
      <c r="C862" s="2"/>
    </row>
    <row r="863" spans="3:3" x14ac:dyDescent="0.35">
      <c r="C863" s="2"/>
    </row>
    <row r="864" spans="3:3" x14ac:dyDescent="0.35">
      <c r="C864" s="2"/>
    </row>
    <row r="865" spans="3:3" x14ac:dyDescent="0.35">
      <c r="C865" s="2"/>
    </row>
    <row r="866" spans="3:3" x14ac:dyDescent="0.35">
      <c r="C866" s="2"/>
    </row>
    <row r="867" spans="3:3" x14ac:dyDescent="0.35">
      <c r="C867" s="2"/>
    </row>
    <row r="868" spans="3:3" x14ac:dyDescent="0.35">
      <c r="C868" s="2"/>
    </row>
    <row r="869" spans="3:3" x14ac:dyDescent="0.35">
      <c r="C869" s="2"/>
    </row>
    <row r="870" spans="3:3" x14ac:dyDescent="0.35">
      <c r="C870" s="2"/>
    </row>
    <row r="871" spans="3:3" x14ac:dyDescent="0.35">
      <c r="C871" s="2"/>
    </row>
    <row r="872" spans="3:3" x14ac:dyDescent="0.35">
      <c r="C872" s="2"/>
    </row>
    <row r="873" spans="3:3" x14ac:dyDescent="0.35">
      <c r="C873" s="2"/>
    </row>
    <row r="874" spans="3:3" x14ac:dyDescent="0.35">
      <c r="C874" s="2"/>
    </row>
    <row r="875" spans="3:3" x14ac:dyDescent="0.35">
      <c r="C875" s="2"/>
    </row>
    <row r="876" spans="3:3" x14ac:dyDescent="0.35">
      <c r="C876" s="2"/>
    </row>
    <row r="877" spans="3:3" x14ac:dyDescent="0.35">
      <c r="C877" s="2"/>
    </row>
    <row r="878" spans="3:3" x14ac:dyDescent="0.35">
      <c r="C878" s="2"/>
    </row>
    <row r="879" spans="3:3" x14ac:dyDescent="0.35">
      <c r="C879" s="2"/>
    </row>
    <row r="880" spans="3:3" x14ac:dyDescent="0.35">
      <c r="C880" s="2"/>
    </row>
    <row r="881" spans="3:3" x14ac:dyDescent="0.35">
      <c r="C881" s="2"/>
    </row>
    <row r="882" spans="3:3" x14ac:dyDescent="0.35">
      <c r="C882" s="2"/>
    </row>
    <row r="883" spans="3:3" x14ac:dyDescent="0.35">
      <c r="C883" s="2"/>
    </row>
    <row r="884" spans="3:3" x14ac:dyDescent="0.35">
      <c r="C884" s="2"/>
    </row>
    <row r="885" spans="3:3" x14ac:dyDescent="0.35">
      <c r="C885" s="2"/>
    </row>
    <row r="886" spans="3:3" x14ac:dyDescent="0.35">
      <c r="C886" s="2"/>
    </row>
    <row r="887" spans="3:3" x14ac:dyDescent="0.35">
      <c r="C887" s="2"/>
    </row>
    <row r="888" spans="3:3" x14ac:dyDescent="0.35">
      <c r="C888" s="2"/>
    </row>
    <row r="889" spans="3:3" x14ac:dyDescent="0.35">
      <c r="C889" s="2"/>
    </row>
    <row r="890" spans="3:3" x14ac:dyDescent="0.35">
      <c r="C890" s="2"/>
    </row>
    <row r="891" spans="3:3" x14ac:dyDescent="0.35">
      <c r="C891" s="2"/>
    </row>
    <row r="892" spans="3:3" x14ac:dyDescent="0.35">
      <c r="C892" s="2"/>
    </row>
    <row r="893" spans="3:3" x14ac:dyDescent="0.35">
      <c r="C893" s="2"/>
    </row>
    <row r="894" spans="3:3" x14ac:dyDescent="0.35">
      <c r="C894" s="2"/>
    </row>
    <row r="895" spans="3:3" x14ac:dyDescent="0.35">
      <c r="C895" s="2"/>
    </row>
    <row r="896" spans="3:3" x14ac:dyDescent="0.35">
      <c r="C896" s="2"/>
    </row>
    <row r="897" spans="3:3" x14ac:dyDescent="0.35">
      <c r="C897" s="2"/>
    </row>
    <row r="898" spans="3:3" x14ac:dyDescent="0.35">
      <c r="C898" s="2"/>
    </row>
    <row r="899" spans="3:3" x14ac:dyDescent="0.35">
      <c r="C899" s="2"/>
    </row>
    <row r="900" spans="3:3" x14ac:dyDescent="0.35">
      <c r="C900" s="2"/>
    </row>
    <row r="901" spans="3:3" x14ac:dyDescent="0.35">
      <c r="C901" s="2"/>
    </row>
    <row r="902" spans="3:3" x14ac:dyDescent="0.35">
      <c r="C902" s="2"/>
    </row>
    <row r="903" spans="3:3" x14ac:dyDescent="0.35">
      <c r="C903" s="2"/>
    </row>
    <row r="904" spans="3:3" x14ac:dyDescent="0.35">
      <c r="C904" s="2"/>
    </row>
    <row r="905" spans="3:3" x14ac:dyDescent="0.35">
      <c r="C905" s="2"/>
    </row>
    <row r="906" spans="3:3" x14ac:dyDescent="0.35">
      <c r="C906" s="2"/>
    </row>
    <row r="907" spans="3:3" x14ac:dyDescent="0.35">
      <c r="C907" s="2"/>
    </row>
    <row r="908" spans="3:3" x14ac:dyDescent="0.35">
      <c r="C908" s="2"/>
    </row>
    <row r="909" spans="3:3" x14ac:dyDescent="0.35">
      <c r="C909" s="2"/>
    </row>
    <row r="910" spans="3:3" x14ac:dyDescent="0.35">
      <c r="C910" s="2"/>
    </row>
    <row r="911" spans="3:3" x14ac:dyDescent="0.35">
      <c r="C911" s="2"/>
    </row>
    <row r="912" spans="3:3" x14ac:dyDescent="0.35">
      <c r="C912" s="2"/>
    </row>
    <row r="913" spans="3:3" x14ac:dyDescent="0.35">
      <c r="C913" s="2"/>
    </row>
    <row r="914" spans="3:3" x14ac:dyDescent="0.35">
      <c r="C914" s="2"/>
    </row>
    <row r="915" spans="3:3" x14ac:dyDescent="0.35">
      <c r="C915" s="2"/>
    </row>
    <row r="916" spans="3:3" x14ac:dyDescent="0.35">
      <c r="C916" s="2"/>
    </row>
    <row r="917" spans="3:3" x14ac:dyDescent="0.35">
      <c r="C917" s="2"/>
    </row>
    <row r="918" spans="3:3" x14ac:dyDescent="0.35">
      <c r="C918" s="2"/>
    </row>
    <row r="919" spans="3:3" x14ac:dyDescent="0.35">
      <c r="C919" s="2"/>
    </row>
    <row r="920" spans="3:3" x14ac:dyDescent="0.35">
      <c r="C920" s="2"/>
    </row>
    <row r="921" spans="3:3" x14ac:dyDescent="0.35">
      <c r="C921" s="2"/>
    </row>
    <row r="922" spans="3:3" x14ac:dyDescent="0.35">
      <c r="C922" s="2"/>
    </row>
    <row r="923" spans="3:3" x14ac:dyDescent="0.35">
      <c r="C923" s="2"/>
    </row>
    <row r="924" spans="3:3" x14ac:dyDescent="0.35">
      <c r="C924" s="2"/>
    </row>
    <row r="925" spans="3:3" x14ac:dyDescent="0.35">
      <c r="C925" s="2"/>
    </row>
    <row r="926" spans="3:3" x14ac:dyDescent="0.35">
      <c r="C926" s="2"/>
    </row>
    <row r="927" spans="3:3" x14ac:dyDescent="0.35">
      <c r="C927" s="2"/>
    </row>
    <row r="928" spans="3:3" x14ac:dyDescent="0.35">
      <c r="C928" s="2"/>
    </row>
    <row r="929" spans="3:3" x14ac:dyDescent="0.35">
      <c r="C929" s="2"/>
    </row>
    <row r="930" spans="3:3" x14ac:dyDescent="0.35">
      <c r="C930" s="2"/>
    </row>
    <row r="931" spans="3:3" x14ac:dyDescent="0.35">
      <c r="C931" s="2"/>
    </row>
    <row r="932" spans="3:3" x14ac:dyDescent="0.35">
      <c r="C932" s="2"/>
    </row>
    <row r="933" spans="3:3" x14ac:dyDescent="0.35">
      <c r="C933" s="2"/>
    </row>
    <row r="934" spans="3:3" x14ac:dyDescent="0.35">
      <c r="C934" s="2"/>
    </row>
    <row r="935" spans="3:3" x14ac:dyDescent="0.35">
      <c r="C935" s="2"/>
    </row>
    <row r="936" spans="3:3" x14ac:dyDescent="0.35">
      <c r="C936" s="2"/>
    </row>
    <row r="937" spans="3:3" x14ac:dyDescent="0.35">
      <c r="C937" s="2"/>
    </row>
    <row r="938" spans="3:3" x14ac:dyDescent="0.35">
      <c r="C938" s="2"/>
    </row>
    <row r="939" spans="3:3" x14ac:dyDescent="0.35">
      <c r="C939" s="2"/>
    </row>
    <row r="940" spans="3:3" x14ac:dyDescent="0.35">
      <c r="C940" s="2"/>
    </row>
    <row r="941" spans="3:3" x14ac:dyDescent="0.35">
      <c r="C941" s="2"/>
    </row>
    <row r="942" spans="3:3" x14ac:dyDescent="0.35">
      <c r="C942" s="2"/>
    </row>
    <row r="943" spans="3:3" x14ac:dyDescent="0.35">
      <c r="C943" s="2"/>
    </row>
    <row r="944" spans="3:3" x14ac:dyDescent="0.35">
      <c r="C944" s="2"/>
    </row>
    <row r="945" spans="3:3" x14ac:dyDescent="0.35">
      <c r="C945" s="2"/>
    </row>
    <row r="946" spans="3:3" x14ac:dyDescent="0.35">
      <c r="C946" s="2"/>
    </row>
    <row r="947" spans="3:3" x14ac:dyDescent="0.35">
      <c r="C947" s="2"/>
    </row>
    <row r="948" spans="3:3" x14ac:dyDescent="0.35">
      <c r="C948" s="2"/>
    </row>
    <row r="949" spans="3:3" x14ac:dyDescent="0.35">
      <c r="C949" s="2"/>
    </row>
    <row r="950" spans="3:3" x14ac:dyDescent="0.35">
      <c r="C950" s="2"/>
    </row>
    <row r="951" spans="3:3" x14ac:dyDescent="0.35">
      <c r="C951" s="2"/>
    </row>
    <row r="952" spans="3:3" x14ac:dyDescent="0.35">
      <c r="C952" s="2"/>
    </row>
    <row r="953" spans="3:3" x14ac:dyDescent="0.35">
      <c r="C953" s="2"/>
    </row>
    <row r="954" spans="3:3" x14ac:dyDescent="0.35">
      <c r="C954" s="2"/>
    </row>
    <row r="955" spans="3:3" x14ac:dyDescent="0.35">
      <c r="C955" s="2"/>
    </row>
    <row r="956" spans="3:3" x14ac:dyDescent="0.35">
      <c r="C956" s="2"/>
    </row>
    <row r="957" spans="3:3" x14ac:dyDescent="0.35">
      <c r="C957" s="2"/>
    </row>
    <row r="958" spans="3:3" x14ac:dyDescent="0.35">
      <c r="C958" s="2"/>
    </row>
    <row r="959" spans="3:3" x14ac:dyDescent="0.35">
      <c r="C959" s="2"/>
    </row>
    <row r="960" spans="3:3" x14ac:dyDescent="0.35">
      <c r="C960" s="2"/>
    </row>
    <row r="961" spans="3:3" x14ac:dyDescent="0.35">
      <c r="C961" s="2"/>
    </row>
    <row r="962" spans="3:3" x14ac:dyDescent="0.35">
      <c r="C962" s="2"/>
    </row>
    <row r="963" spans="3:3" x14ac:dyDescent="0.35">
      <c r="C963" s="2"/>
    </row>
    <row r="964" spans="3:3" x14ac:dyDescent="0.35">
      <c r="C964" s="2"/>
    </row>
    <row r="965" spans="3:3" x14ac:dyDescent="0.35">
      <c r="C965" s="2"/>
    </row>
    <row r="966" spans="3:3" x14ac:dyDescent="0.35">
      <c r="C966" s="2"/>
    </row>
    <row r="967" spans="3:3" x14ac:dyDescent="0.35">
      <c r="C967" s="2"/>
    </row>
    <row r="968" spans="3:3" x14ac:dyDescent="0.35">
      <c r="C968" s="2"/>
    </row>
    <row r="969" spans="3:3" x14ac:dyDescent="0.35">
      <c r="C969" s="2"/>
    </row>
    <row r="970" spans="3:3" x14ac:dyDescent="0.35">
      <c r="C970" s="2"/>
    </row>
    <row r="971" spans="3:3" x14ac:dyDescent="0.35">
      <c r="C971" s="2"/>
    </row>
    <row r="972" spans="3:3" x14ac:dyDescent="0.35">
      <c r="C972" s="2"/>
    </row>
    <row r="973" spans="3:3" x14ac:dyDescent="0.35">
      <c r="C973" s="2"/>
    </row>
    <row r="974" spans="3:3" x14ac:dyDescent="0.35">
      <c r="C974" s="2"/>
    </row>
    <row r="975" spans="3:3" x14ac:dyDescent="0.35">
      <c r="C975" s="2"/>
    </row>
    <row r="976" spans="3:3" x14ac:dyDescent="0.35">
      <c r="C976" s="2"/>
    </row>
    <row r="977" spans="3:3" x14ac:dyDescent="0.35">
      <c r="C977" s="2"/>
    </row>
    <row r="978" spans="3:3" x14ac:dyDescent="0.35">
      <c r="C978" s="2"/>
    </row>
    <row r="979" spans="3:3" x14ac:dyDescent="0.35">
      <c r="C979" s="2"/>
    </row>
    <row r="980" spans="3:3" x14ac:dyDescent="0.35">
      <c r="C980" s="2"/>
    </row>
    <row r="981" spans="3:3" x14ac:dyDescent="0.35">
      <c r="C981" s="2"/>
    </row>
    <row r="982" spans="3:3" x14ac:dyDescent="0.35">
      <c r="C982" s="2"/>
    </row>
    <row r="983" spans="3:3" x14ac:dyDescent="0.35">
      <c r="C983" s="2"/>
    </row>
    <row r="984" spans="3:3" x14ac:dyDescent="0.35">
      <c r="C984" s="2"/>
    </row>
    <row r="985" spans="3:3" x14ac:dyDescent="0.35">
      <c r="C985" s="2"/>
    </row>
    <row r="986" spans="3:3" x14ac:dyDescent="0.35">
      <c r="C986" s="2"/>
    </row>
    <row r="987" spans="3:3" x14ac:dyDescent="0.35">
      <c r="C987" s="2"/>
    </row>
    <row r="988" spans="3:3" x14ac:dyDescent="0.35">
      <c r="C988" s="2"/>
    </row>
    <row r="989" spans="3:3" x14ac:dyDescent="0.35">
      <c r="C989" s="2"/>
    </row>
    <row r="990" spans="3:3" x14ac:dyDescent="0.35">
      <c r="C990" s="2"/>
    </row>
    <row r="991" spans="3:3" x14ac:dyDescent="0.35">
      <c r="C991" s="2"/>
    </row>
    <row r="992" spans="3:3" x14ac:dyDescent="0.35">
      <c r="C992" s="2"/>
    </row>
    <row r="993" spans="3:3" x14ac:dyDescent="0.35">
      <c r="C993" s="2"/>
    </row>
    <row r="994" spans="3:3" x14ac:dyDescent="0.35">
      <c r="C994" s="2"/>
    </row>
    <row r="995" spans="3:3" x14ac:dyDescent="0.35">
      <c r="C995" s="2"/>
    </row>
    <row r="996" spans="3:3" x14ac:dyDescent="0.35">
      <c r="C996" s="2"/>
    </row>
    <row r="997" spans="3:3" x14ac:dyDescent="0.35">
      <c r="C997" s="2"/>
    </row>
    <row r="998" spans="3:3" x14ac:dyDescent="0.35">
      <c r="C998" s="2"/>
    </row>
    <row r="999" spans="3:3" x14ac:dyDescent="0.35">
      <c r="C999" s="2"/>
    </row>
    <row r="1000" spans="3:3" x14ac:dyDescent="0.35">
      <c r="C1000" s="2"/>
    </row>
    <row r="1001" spans="3:3" x14ac:dyDescent="0.35">
      <c r="C1001" s="2"/>
    </row>
    <row r="1002" spans="3:3" x14ac:dyDescent="0.35">
      <c r="C1002" s="2"/>
    </row>
    <row r="1003" spans="3:3" x14ac:dyDescent="0.35">
      <c r="C1003" s="2"/>
    </row>
    <row r="1004" spans="3:3" x14ac:dyDescent="0.35">
      <c r="C1004" s="2"/>
    </row>
    <row r="1005" spans="3:3" x14ac:dyDescent="0.35">
      <c r="C1005" s="2"/>
    </row>
    <row r="1006" spans="3:3" x14ac:dyDescent="0.35">
      <c r="C1006" s="2"/>
    </row>
    <row r="1007" spans="3:3" x14ac:dyDescent="0.35">
      <c r="C1007" s="2"/>
    </row>
    <row r="1008" spans="3:3" x14ac:dyDescent="0.35">
      <c r="C1008" s="2"/>
    </row>
    <row r="1009" spans="3:3" x14ac:dyDescent="0.35">
      <c r="C1009" s="2"/>
    </row>
    <row r="1010" spans="3:3" x14ac:dyDescent="0.35">
      <c r="C1010" s="2"/>
    </row>
    <row r="1011" spans="3:3" x14ac:dyDescent="0.35">
      <c r="C1011" s="2"/>
    </row>
    <row r="1012" spans="3:3" x14ac:dyDescent="0.35">
      <c r="C1012" s="2"/>
    </row>
    <row r="1013" spans="3:3" x14ac:dyDescent="0.35">
      <c r="C1013" s="2"/>
    </row>
    <row r="1014" spans="3:3" x14ac:dyDescent="0.35">
      <c r="C1014" s="2"/>
    </row>
    <row r="1015" spans="3:3" x14ac:dyDescent="0.35">
      <c r="C1015" s="2"/>
    </row>
    <row r="1016" spans="3:3" x14ac:dyDescent="0.35">
      <c r="C1016" s="2"/>
    </row>
    <row r="1017" spans="3:3" x14ac:dyDescent="0.35">
      <c r="C1017" s="2"/>
    </row>
    <row r="1018" spans="3:3" x14ac:dyDescent="0.35">
      <c r="C1018" s="2"/>
    </row>
    <row r="1019" spans="3:3" x14ac:dyDescent="0.35">
      <c r="C1019" s="2"/>
    </row>
    <row r="1020" spans="3:3" x14ac:dyDescent="0.35">
      <c r="C1020" s="2"/>
    </row>
    <row r="1021" spans="3:3" x14ac:dyDescent="0.35">
      <c r="C1021" s="2"/>
    </row>
    <row r="1022" spans="3:3" x14ac:dyDescent="0.35">
      <c r="C1022" s="2"/>
    </row>
    <row r="1023" spans="3:3" x14ac:dyDescent="0.35">
      <c r="C1023" s="2"/>
    </row>
    <row r="1024" spans="3:3" x14ac:dyDescent="0.35">
      <c r="C1024" s="2"/>
    </row>
    <row r="1025" spans="3:3" x14ac:dyDescent="0.35">
      <c r="C1025" s="2"/>
    </row>
    <row r="1026" spans="3:3" x14ac:dyDescent="0.35">
      <c r="C1026" s="2"/>
    </row>
    <row r="1027" spans="3:3" x14ac:dyDescent="0.35">
      <c r="C1027" s="2"/>
    </row>
    <row r="1028" spans="3:3" x14ac:dyDescent="0.35">
      <c r="C1028" s="2"/>
    </row>
    <row r="1029" spans="3:3" x14ac:dyDescent="0.35">
      <c r="C1029" s="2"/>
    </row>
    <row r="1030" spans="3:3" x14ac:dyDescent="0.35">
      <c r="C1030" s="2"/>
    </row>
    <row r="1031" spans="3:3" x14ac:dyDescent="0.35">
      <c r="C1031" s="2"/>
    </row>
    <row r="1032" spans="3:3" x14ac:dyDescent="0.35">
      <c r="C1032" s="2"/>
    </row>
    <row r="1033" spans="3:3" x14ac:dyDescent="0.35">
      <c r="C1033" s="2"/>
    </row>
    <row r="1034" spans="3:3" x14ac:dyDescent="0.35">
      <c r="C1034" s="2"/>
    </row>
    <row r="1035" spans="3:3" x14ac:dyDescent="0.35">
      <c r="C1035" s="2"/>
    </row>
    <row r="1036" spans="3:3" x14ac:dyDescent="0.35">
      <c r="C1036" s="2"/>
    </row>
    <row r="1037" spans="3:3" x14ac:dyDescent="0.35">
      <c r="C1037" s="2"/>
    </row>
    <row r="1038" spans="3:3" x14ac:dyDescent="0.35">
      <c r="C1038" s="2"/>
    </row>
    <row r="1039" spans="3:3" x14ac:dyDescent="0.35">
      <c r="C1039" s="2"/>
    </row>
    <row r="1040" spans="3:3" x14ac:dyDescent="0.35">
      <c r="C1040" s="2"/>
    </row>
    <row r="1041" spans="3:3" x14ac:dyDescent="0.35">
      <c r="C1041" s="2"/>
    </row>
    <row r="1042" spans="3:3" x14ac:dyDescent="0.35">
      <c r="C1042" s="2"/>
    </row>
    <row r="1043" spans="3:3" x14ac:dyDescent="0.35">
      <c r="C1043" s="2"/>
    </row>
    <row r="1044" spans="3:3" x14ac:dyDescent="0.35">
      <c r="C1044" s="2"/>
    </row>
    <row r="1045" spans="3:3" x14ac:dyDescent="0.35">
      <c r="C1045" s="2"/>
    </row>
    <row r="1046" spans="3:3" x14ac:dyDescent="0.35">
      <c r="C1046" s="2"/>
    </row>
    <row r="1047" spans="3:3" x14ac:dyDescent="0.35">
      <c r="C1047" s="2"/>
    </row>
    <row r="1048" spans="3:3" x14ac:dyDescent="0.35">
      <c r="C1048" s="2"/>
    </row>
    <row r="1049" spans="3:3" x14ac:dyDescent="0.35">
      <c r="C1049" s="2"/>
    </row>
    <row r="1050" spans="3:3" x14ac:dyDescent="0.35">
      <c r="C1050" s="2"/>
    </row>
    <row r="1051" spans="3:3" x14ac:dyDescent="0.35">
      <c r="C1051" s="2"/>
    </row>
    <row r="1052" spans="3:3" x14ac:dyDescent="0.35">
      <c r="C1052" s="2"/>
    </row>
    <row r="1053" spans="3:3" x14ac:dyDescent="0.35">
      <c r="C1053" s="2"/>
    </row>
    <row r="1054" spans="3:3" x14ac:dyDescent="0.35">
      <c r="C1054" s="2"/>
    </row>
    <row r="1055" spans="3:3" x14ac:dyDescent="0.35">
      <c r="C1055" s="2"/>
    </row>
    <row r="1056" spans="3:3" x14ac:dyDescent="0.35">
      <c r="C1056" s="2"/>
    </row>
    <row r="1057" spans="3:3" x14ac:dyDescent="0.35">
      <c r="C1057" s="2"/>
    </row>
    <row r="1058" spans="3:3" x14ac:dyDescent="0.35">
      <c r="C1058" s="2"/>
    </row>
    <row r="1059" spans="3:3" x14ac:dyDescent="0.35">
      <c r="C1059" s="2"/>
    </row>
    <row r="1060" spans="3:3" x14ac:dyDescent="0.35">
      <c r="C1060" s="2"/>
    </row>
    <row r="1061" spans="3:3" x14ac:dyDescent="0.35">
      <c r="C1061" s="2"/>
    </row>
    <row r="1062" spans="3:3" x14ac:dyDescent="0.35">
      <c r="C1062" s="2"/>
    </row>
    <row r="1063" spans="3:3" x14ac:dyDescent="0.35">
      <c r="C1063" s="2"/>
    </row>
    <row r="1064" spans="3:3" x14ac:dyDescent="0.35">
      <c r="C1064" s="2"/>
    </row>
    <row r="1065" spans="3:3" x14ac:dyDescent="0.35">
      <c r="C1065" s="2"/>
    </row>
    <row r="1066" spans="3:3" x14ac:dyDescent="0.35">
      <c r="C1066" s="2"/>
    </row>
    <row r="1067" spans="3:3" x14ac:dyDescent="0.35">
      <c r="C1067" s="2"/>
    </row>
    <row r="1068" spans="3:3" x14ac:dyDescent="0.35">
      <c r="C1068" s="2"/>
    </row>
    <row r="1069" spans="3:3" x14ac:dyDescent="0.35">
      <c r="C1069" s="2"/>
    </row>
    <row r="1070" spans="3:3" x14ac:dyDescent="0.35">
      <c r="C1070" s="2"/>
    </row>
    <row r="1071" spans="3:3" x14ac:dyDescent="0.35">
      <c r="C1071" s="2"/>
    </row>
    <row r="1072" spans="3:3" x14ac:dyDescent="0.35">
      <c r="C1072" s="2"/>
    </row>
    <row r="1073" spans="3:3" x14ac:dyDescent="0.35">
      <c r="C1073" s="2"/>
    </row>
    <row r="1074" spans="3:3" x14ac:dyDescent="0.35">
      <c r="C1074" s="2"/>
    </row>
    <row r="1075" spans="3:3" x14ac:dyDescent="0.35">
      <c r="C1075" s="2"/>
    </row>
    <row r="1076" spans="3:3" x14ac:dyDescent="0.35">
      <c r="C1076" s="2"/>
    </row>
    <row r="1077" spans="3:3" x14ac:dyDescent="0.35">
      <c r="C1077" s="2"/>
    </row>
    <row r="1078" spans="3:3" x14ac:dyDescent="0.35">
      <c r="C1078" s="2"/>
    </row>
    <row r="1079" spans="3:3" x14ac:dyDescent="0.35">
      <c r="C1079" s="2"/>
    </row>
    <row r="1080" spans="3:3" x14ac:dyDescent="0.35">
      <c r="C1080" s="2"/>
    </row>
    <row r="1081" spans="3:3" x14ac:dyDescent="0.35">
      <c r="C1081" s="2"/>
    </row>
    <row r="1082" spans="3:3" x14ac:dyDescent="0.35">
      <c r="C1082" s="2"/>
    </row>
    <row r="1083" spans="3:3" x14ac:dyDescent="0.35">
      <c r="C1083" s="2"/>
    </row>
    <row r="1084" spans="3:3" x14ac:dyDescent="0.35">
      <c r="C1084" s="2"/>
    </row>
    <row r="1085" spans="3:3" x14ac:dyDescent="0.35">
      <c r="C1085" s="2"/>
    </row>
    <row r="1086" spans="3:3" x14ac:dyDescent="0.35">
      <c r="C1086" s="2"/>
    </row>
    <row r="1087" spans="3:3" x14ac:dyDescent="0.35">
      <c r="C1087" s="2"/>
    </row>
    <row r="1088" spans="3:3" x14ac:dyDescent="0.35">
      <c r="C1088" s="2"/>
    </row>
    <row r="1089" spans="3:3" x14ac:dyDescent="0.35">
      <c r="C1089" s="2"/>
    </row>
    <row r="1090" spans="3:3" x14ac:dyDescent="0.35">
      <c r="C1090" s="2"/>
    </row>
    <row r="1091" spans="3:3" x14ac:dyDescent="0.35">
      <c r="C1091" s="2"/>
    </row>
    <row r="1092" spans="3:3" x14ac:dyDescent="0.35">
      <c r="C1092" s="2"/>
    </row>
    <row r="1093" spans="3:3" x14ac:dyDescent="0.35">
      <c r="C1093" s="2"/>
    </row>
    <row r="1094" spans="3:3" x14ac:dyDescent="0.35">
      <c r="C1094" s="2"/>
    </row>
    <row r="1095" spans="3:3" x14ac:dyDescent="0.35">
      <c r="C1095" s="2"/>
    </row>
    <row r="1096" spans="3:3" x14ac:dyDescent="0.35">
      <c r="C1096" s="2"/>
    </row>
    <row r="1097" spans="3:3" x14ac:dyDescent="0.35">
      <c r="C1097" s="2"/>
    </row>
    <row r="1098" spans="3:3" x14ac:dyDescent="0.35">
      <c r="C1098" s="2"/>
    </row>
    <row r="1099" spans="3:3" x14ac:dyDescent="0.35">
      <c r="C1099" s="2"/>
    </row>
    <row r="1100" spans="3:3" x14ac:dyDescent="0.35">
      <c r="C1100" s="2"/>
    </row>
    <row r="1101" spans="3:3" x14ac:dyDescent="0.35">
      <c r="C1101" s="2"/>
    </row>
    <row r="1102" spans="3:3" x14ac:dyDescent="0.35">
      <c r="C1102" s="2"/>
    </row>
    <row r="1103" spans="3:3" x14ac:dyDescent="0.35">
      <c r="C1103" s="2"/>
    </row>
    <row r="1104" spans="3:3" x14ac:dyDescent="0.35">
      <c r="C1104" s="2"/>
    </row>
    <row r="1105" spans="2:3" x14ac:dyDescent="0.35">
      <c r="C1105" s="2"/>
    </row>
    <row r="1106" spans="2:3" x14ac:dyDescent="0.35">
      <c r="C1106" s="2"/>
    </row>
    <row r="1107" spans="2:3" x14ac:dyDescent="0.35">
      <c r="C1107" s="2"/>
    </row>
    <row r="1108" spans="2:3" x14ac:dyDescent="0.35">
      <c r="C1108" s="2"/>
    </row>
    <row r="1109" spans="2:3" x14ac:dyDescent="0.35">
      <c r="C1109" s="2"/>
    </row>
    <row r="1110" spans="2:3" x14ac:dyDescent="0.35">
      <c r="C1110" s="2"/>
    </row>
    <row r="1111" spans="2:3" x14ac:dyDescent="0.35">
      <c r="C1111" s="2"/>
    </row>
    <row r="1112" spans="2:3" x14ac:dyDescent="0.35">
      <c r="C1112" s="2"/>
    </row>
    <row r="1113" spans="2:3" x14ac:dyDescent="0.35">
      <c r="C1113" s="2"/>
    </row>
    <row r="1114" spans="2:3" x14ac:dyDescent="0.35">
      <c r="C1114" s="2"/>
    </row>
    <row r="1115" spans="2:3" x14ac:dyDescent="0.35">
      <c r="C1115" s="2"/>
    </row>
    <row r="1116" spans="2:3" x14ac:dyDescent="0.35">
      <c r="C1116" s="2"/>
    </row>
    <row r="1117" spans="2:3" x14ac:dyDescent="0.35">
      <c r="C1117" s="2"/>
    </row>
    <row r="1118" spans="2:3" x14ac:dyDescent="0.35">
      <c r="C1118" s="2"/>
    </row>
    <row r="1119" spans="2:3" x14ac:dyDescent="0.35">
      <c r="B1119" s="5"/>
      <c r="C1119" s="2"/>
    </row>
    <row r="1120" spans="2:3" x14ac:dyDescent="0.35">
      <c r="C1120" s="2"/>
    </row>
    <row r="1121" spans="3:3" x14ac:dyDescent="0.35">
      <c r="C1121" s="2"/>
    </row>
    <row r="1122" spans="3:3" x14ac:dyDescent="0.35">
      <c r="C1122" s="2"/>
    </row>
    <row r="1123" spans="3:3" x14ac:dyDescent="0.35">
      <c r="C1123" s="2"/>
    </row>
    <row r="1124" spans="3:3" x14ac:dyDescent="0.35">
      <c r="C1124" s="2"/>
    </row>
    <row r="1125" spans="3:3" x14ac:dyDescent="0.35">
      <c r="C1125" s="2"/>
    </row>
    <row r="1126" spans="3:3" x14ac:dyDescent="0.35">
      <c r="C1126" s="2"/>
    </row>
    <row r="1127" spans="3:3" x14ac:dyDescent="0.35">
      <c r="C1127" s="2"/>
    </row>
    <row r="1128" spans="3:3" x14ac:dyDescent="0.35">
      <c r="C1128" s="2"/>
    </row>
    <row r="1129" spans="3:3" x14ac:dyDescent="0.35">
      <c r="C1129" s="2"/>
    </row>
    <row r="1130" spans="3:3" x14ac:dyDescent="0.35">
      <c r="C1130" s="2"/>
    </row>
    <row r="1131" spans="3:3" x14ac:dyDescent="0.35">
      <c r="C1131" s="2"/>
    </row>
    <row r="1132" spans="3:3" x14ac:dyDescent="0.35">
      <c r="C1132" s="2"/>
    </row>
    <row r="1133" spans="3:3" x14ac:dyDescent="0.35">
      <c r="C1133" s="2"/>
    </row>
    <row r="1134" spans="3:3" x14ac:dyDescent="0.35">
      <c r="C1134" s="2"/>
    </row>
    <row r="1135" spans="3:3" x14ac:dyDescent="0.35">
      <c r="C1135" s="2"/>
    </row>
    <row r="1136" spans="3:3" x14ac:dyDescent="0.35">
      <c r="C1136" s="2"/>
    </row>
    <row r="1137" spans="3:3" x14ac:dyDescent="0.35">
      <c r="C1137" s="2"/>
    </row>
    <row r="1138" spans="3:3" x14ac:dyDescent="0.35">
      <c r="C1138" s="2"/>
    </row>
    <row r="1139" spans="3:3" x14ac:dyDescent="0.35">
      <c r="C1139" s="2"/>
    </row>
    <row r="1140" spans="3:3" x14ac:dyDescent="0.35">
      <c r="C1140" s="2"/>
    </row>
    <row r="1141" spans="3:3" x14ac:dyDescent="0.35">
      <c r="C1141" s="2"/>
    </row>
    <row r="1142" spans="3:3" x14ac:dyDescent="0.35">
      <c r="C1142" s="2"/>
    </row>
    <row r="1143" spans="3:3" x14ac:dyDescent="0.35">
      <c r="C1143" s="2"/>
    </row>
    <row r="1144" spans="3:3" x14ac:dyDescent="0.35">
      <c r="C1144" s="2"/>
    </row>
    <row r="1145" spans="3:3" x14ac:dyDescent="0.35">
      <c r="C1145" s="2"/>
    </row>
    <row r="1146" spans="3:3" x14ac:dyDescent="0.35">
      <c r="C1146" s="2"/>
    </row>
    <row r="1147" spans="3:3" x14ac:dyDescent="0.35">
      <c r="C1147" s="2"/>
    </row>
    <row r="1148" spans="3:3" x14ac:dyDescent="0.35">
      <c r="C1148" s="2"/>
    </row>
    <row r="1149" spans="3:3" x14ac:dyDescent="0.35">
      <c r="C1149" s="2"/>
    </row>
    <row r="1150" spans="3:3" x14ac:dyDescent="0.35">
      <c r="C1150" s="2"/>
    </row>
    <row r="1151" spans="3:3" x14ac:dyDescent="0.35">
      <c r="C1151" s="2"/>
    </row>
    <row r="1152" spans="3:3" x14ac:dyDescent="0.35">
      <c r="C1152" s="2"/>
    </row>
    <row r="1153" spans="3:3" x14ac:dyDescent="0.35">
      <c r="C1153" s="2"/>
    </row>
    <row r="1154" spans="3:3" x14ac:dyDescent="0.35">
      <c r="C1154" s="2"/>
    </row>
    <row r="1155" spans="3:3" x14ac:dyDescent="0.35">
      <c r="C1155" s="2"/>
    </row>
    <row r="1156" spans="3:3" x14ac:dyDescent="0.35">
      <c r="C1156" s="2"/>
    </row>
    <row r="1157" spans="3:3" x14ac:dyDescent="0.35">
      <c r="C1157" s="2"/>
    </row>
    <row r="1158" spans="3:3" x14ac:dyDescent="0.35">
      <c r="C1158" s="2"/>
    </row>
    <row r="1159" spans="3:3" x14ac:dyDescent="0.35">
      <c r="C1159" s="2"/>
    </row>
    <row r="1160" spans="3:3" x14ac:dyDescent="0.35">
      <c r="C1160" s="2"/>
    </row>
    <row r="1161" spans="3:3" x14ac:dyDescent="0.35">
      <c r="C1161" s="2"/>
    </row>
    <row r="1162" spans="3:3" x14ac:dyDescent="0.35">
      <c r="C1162" s="2"/>
    </row>
    <row r="1163" spans="3:3" x14ac:dyDescent="0.35">
      <c r="C1163" s="2"/>
    </row>
    <row r="1164" spans="3:3" x14ac:dyDescent="0.35">
      <c r="C1164" s="2"/>
    </row>
    <row r="1165" spans="3:3" x14ac:dyDescent="0.35">
      <c r="C1165" s="2"/>
    </row>
    <row r="1166" spans="3:3" x14ac:dyDescent="0.35">
      <c r="C1166" s="2"/>
    </row>
    <row r="1167" spans="3:3" x14ac:dyDescent="0.35">
      <c r="C1167" s="2"/>
    </row>
    <row r="1168" spans="3:3" x14ac:dyDescent="0.35">
      <c r="C1168" s="2"/>
    </row>
    <row r="1169" spans="3:3" x14ac:dyDescent="0.35">
      <c r="C1169" s="2"/>
    </row>
    <row r="1170" spans="3:3" x14ac:dyDescent="0.35">
      <c r="C1170" s="2"/>
    </row>
    <row r="1171" spans="3:3" x14ac:dyDescent="0.35">
      <c r="C1171" s="2"/>
    </row>
    <row r="1172" spans="3:3" x14ac:dyDescent="0.35">
      <c r="C1172" s="2"/>
    </row>
    <row r="1173" spans="3:3" x14ac:dyDescent="0.35">
      <c r="C1173" s="2"/>
    </row>
    <row r="1174" spans="3:3" x14ac:dyDescent="0.35">
      <c r="C1174" s="2"/>
    </row>
    <row r="1175" spans="3:3" x14ac:dyDescent="0.35">
      <c r="C1175" s="2"/>
    </row>
    <row r="1176" spans="3:3" x14ac:dyDescent="0.35">
      <c r="C1176" s="2"/>
    </row>
    <row r="1177" spans="3:3" x14ac:dyDescent="0.35">
      <c r="C1177" s="2"/>
    </row>
    <row r="1178" spans="3:3" x14ac:dyDescent="0.35">
      <c r="C1178" s="2"/>
    </row>
    <row r="1179" spans="3:3" x14ac:dyDescent="0.35">
      <c r="C1179" s="2"/>
    </row>
    <row r="1180" spans="3:3" x14ac:dyDescent="0.35">
      <c r="C1180" s="2"/>
    </row>
    <row r="1181" spans="3:3" x14ac:dyDescent="0.35">
      <c r="C1181" s="2"/>
    </row>
    <row r="1182" spans="3:3" x14ac:dyDescent="0.35">
      <c r="C1182" s="2"/>
    </row>
    <row r="1183" spans="3:3" x14ac:dyDescent="0.35">
      <c r="C1183" s="2"/>
    </row>
    <row r="1184" spans="3:3" x14ac:dyDescent="0.35">
      <c r="C1184" s="2"/>
    </row>
    <row r="1185" spans="3:3" x14ac:dyDescent="0.35">
      <c r="C1185" s="2"/>
    </row>
    <row r="1186" spans="3:3" x14ac:dyDescent="0.35">
      <c r="C1186" s="2"/>
    </row>
    <row r="1187" spans="3:3" x14ac:dyDescent="0.35">
      <c r="C1187" s="2"/>
    </row>
    <row r="1188" spans="3:3" x14ac:dyDescent="0.35">
      <c r="C1188" s="2"/>
    </row>
    <row r="1189" spans="3:3" x14ac:dyDescent="0.35">
      <c r="C1189" s="2"/>
    </row>
    <row r="1190" spans="3:3" x14ac:dyDescent="0.35">
      <c r="C1190" s="2"/>
    </row>
    <row r="1191" spans="3:3" x14ac:dyDescent="0.35">
      <c r="C1191" s="2"/>
    </row>
    <row r="1192" spans="3:3" x14ac:dyDescent="0.35">
      <c r="C1192" s="2"/>
    </row>
    <row r="1193" spans="3:3" x14ac:dyDescent="0.35">
      <c r="C1193" s="2"/>
    </row>
    <row r="1194" spans="3:3" x14ac:dyDescent="0.35">
      <c r="C1194" s="2"/>
    </row>
    <row r="1195" spans="3:3" x14ac:dyDescent="0.35">
      <c r="C1195" s="2"/>
    </row>
    <row r="1196" spans="3:3" x14ac:dyDescent="0.35">
      <c r="C1196" s="2"/>
    </row>
    <row r="1197" spans="3:3" x14ac:dyDescent="0.35">
      <c r="C1197" s="2"/>
    </row>
    <row r="1198" spans="3:3" x14ac:dyDescent="0.35">
      <c r="C1198" s="2"/>
    </row>
    <row r="1199" spans="3:3" x14ac:dyDescent="0.35">
      <c r="C1199" s="2"/>
    </row>
    <row r="1200" spans="3:3" x14ac:dyDescent="0.35">
      <c r="C1200" s="2"/>
    </row>
    <row r="1201" spans="3:3" x14ac:dyDescent="0.35">
      <c r="C1201" s="2"/>
    </row>
    <row r="1202" spans="3:3" x14ac:dyDescent="0.35">
      <c r="C1202" s="2"/>
    </row>
    <row r="1203" spans="3:3" x14ac:dyDescent="0.35">
      <c r="C1203" s="2"/>
    </row>
    <row r="1204" spans="3:3" x14ac:dyDescent="0.35">
      <c r="C1204" s="2"/>
    </row>
    <row r="1205" spans="3:3" x14ac:dyDescent="0.35">
      <c r="C1205" s="2"/>
    </row>
    <row r="1206" spans="3:3" x14ac:dyDescent="0.35">
      <c r="C1206" s="2"/>
    </row>
    <row r="1207" spans="3:3" x14ac:dyDescent="0.35">
      <c r="C1207" s="2"/>
    </row>
    <row r="1208" spans="3:3" x14ac:dyDescent="0.35">
      <c r="C1208" s="2"/>
    </row>
    <row r="1209" spans="3:3" x14ac:dyDescent="0.35">
      <c r="C1209" s="2"/>
    </row>
    <row r="1210" spans="3:3" x14ac:dyDescent="0.35">
      <c r="C1210" s="2"/>
    </row>
    <row r="1211" spans="3:3" x14ac:dyDescent="0.35">
      <c r="C1211" s="2"/>
    </row>
    <row r="1212" spans="3:3" x14ac:dyDescent="0.35">
      <c r="C1212" s="2"/>
    </row>
    <row r="1213" spans="3:3" x14ac:dyDescent="0.35">
      <c r="C1213" s="2"/>
    </row>
    <row r="1214" spans="3:3" x14ac:dyDescent="0.35">
      <c r="C1214" s="2"/>
    </row>
    <row r="1215" spans="3:3" x14ac:dyDescent="0.35">
      <c r="C1215" s="2"/>
    </row>
    <row r="1216" spans="3:3" x14ac:dyDescent="0.35">
      <c r="C1216" s="2"/>
    </row>
    <row r="1217" spans="3:3" x14ac:dyDescent="0.35">
      <c r="C1217" s="2"/>
    </row>
    <row r="1218" spans="3:3" x14ac:dyDescent="0.35">
      <c r="C1218" s="2"/>
    </row>
    <row r="1219" spans="3:3" x14ac:dyDescent="0.35">
      <c r="C1219" s="2"/>
    </row>
    <row r="1220" spans="3:3" x14ac:dyDescent="0.35">
      <c r="C1220" s="2"/>
    </row>
    <row r="1221" spans="3:3" x14ac:dyDescent="0.35">
      <c r="C1221" s="2"/>
    </row>
    <row r="1222" spans="3:3" x14ac:dyDescent="0.35">
      <c r="C1222" s="2"/>
    </row>
    <row r="1223" spans="3:3" x14ac:dyDescent="0.35">
      <c r="C1223" s="2"/>
    </row>
    <row r="1224" spans="3:3" x14ac:dyDescent="0.35">
      <c r="C1224" s="2"/>
    </row>
    <row r="1225" spans="3:3" x14ac:dyDescent="0.35">
      <c r="C1225" s="2"/>
    </row>
    <row r="1226" spans="3:3" x14ac:dyDescent="0.35">
      <c r="C1226" s="2"/>
    </row>
    <row r="1227" spans="3:3" x14ac:dyDescent="0.35">
      <c r="C1227" s="2"/>
    </row>
    <row r="1228" spans="3:3" x14ac:dyDescent="0.35">
      <c r="C1228" s="2"/>
    </row>
    <row r="1229" spans="3:3" x14ac:dyDescent="0.35">
      <c r="C1229" s="2"/>
    </row>
    <row r="1230" spans="3:3" x14ac:dyDescent="0.35">
      <c r="C1230" s="2"/>
    </row>
    <row r="1231" spans="3:3" x14ac:dyDescent="0.35">
      <c r="C1231" s="2"/>
    </row>
    <row r="1232" spans="3:3" x14ac:dyDescent="0.35">
      <c r="C1232" s="2"/>
    </row>
    <row r="1233" spans="3:3" x14ac:dyDescent="0.35">
      <c r="C1233" s="2"/>
    </row>
    <row r="1234" spans="3:3" x14ac:dyDescent="0.35">
      <c r="C1234" s="2"/>
    </row>
    <row r="1235" spans="3:3" x14ac:dyDescent="0.35">
      <c r="C1235" s="2"/>
    </row>
    <row r="1236" spans="3:3" x14ac:dyDescent="0.35">
      <c r="C1236" s="2"/>
    </row>
    <row r="1237" spans="3:3" x14ac:dyDescent="0.35">
      <c r="C1237" s="2"/>
    </row>
    <row r="1238" spans="3:3" x14ac:dyDescent="0.35">
      <c r="C1238" s="2"/>
    </row>
    <row r="1239" spans="3:3" x14ac:dyDescent="0.35">
      <c r="C1239" s="2"/>
    </row>
    <row r="1240" spans="3:3" x14ac:dyDescent="0.35">
      <c r="C1240" s="2"/>
    </row>
    <row r="1241" spans="3:3" x14ac:dyDescent="0.35">
      <c r="C1241" s="2"/>
    </row>
    <row r="1242" spans="3:3" x14ac:dyDescent="0.35">
      <c r="C1242" s="2"/>
    </row>
    <row r="1243" spans="3:3" x14ac:dyDescent="0.35">
      <c r="C1243" s="2"/>
    </row>
    <row r="1244" spans="3:3" x14ac:dyDescent="0.35">
      <c r="C1244" s="2"/>
    </row>
    <row r="1245" spans="3:3" x14ac:dyDescent="0.35">
      <c r="C1245" s="2"/>
    </row>
    <row r="1246" spans="3:3" x14ac:dyDescent="0.35">
      <c r="C1246" s="2"/>
    </row>
    <row r="1247" spans="3:3" x14ac:dyDescent="0.35">
      <c r="C1247" s="2"/>
    </row>
    <row r="1248" spans="3:3" x14ac:dyDescent="0.35">
      <c r="C1248" s="2"/>
    </row>
    <row r="1249" spans="3:3" x14ac:dyDescent="0.35">
      <c r="C1249" s="2"/>
    </row>
    <row r="1250" spans="3:3" x14ac:dyDescent="0.35">
      <c r="C1250" s="2"/>
    </row>
    <row r="1251" spans="3:3" x14ac:dyDescent="0.35">
      <c r="C1251" s="2"/>
    </row>
    <row r="1252" spans="3:3" x14ac:dyDescent="0.35">
      <c r="C1252" s="2"/>
    </row>
    <row r="1253" spans="3:3" x14ac:dyDescent="0.35">
      <c r="C1253" s="2"/>
    </row>
    <row r="1254" spans="3:3" x14ac:dyDescent="0.35">
      <c r="C1254" s="2"/>
    </row>
    <row r="1255" spans="3:3" x14ac:dyDescent="0.35">
      <c r="C1255" s="2"/>
    </row>
    <row r="1256" spans="3:3" x14ac:dyDescent="0.35">
      <c r="C1256" s="2"/>
    </row>
    <row r="1257" spans="3:3" x14ac:dyDescent="0.35">
      <c r="C1257" s="2"/>
    </row>
    <row r="1258" spans="3:3" x14ac:dyDescent="0.35">
      <c r="C1258" s="2"/>
    </row>
    <row r="1259" spans="3:3" x14ac:dyDescent="0.35">
      <c r="C1259" s="2"/>
    </row>
    <row r="1260" spans="3:3" x14ac:dyDescent="0.35">
      <c r="C1260" s="2"/>
    </row>
    <row r="1261" spans="3:3" x14ac:dyDescent="0.35">
      <c r="C1261" s="2"/>
    </row>
    <row r="1262" spans="3:3" x14ac:dyDescent="0.35">
      <c r="C1262" s="2"/>
    </row>
    <row r="1263" spans="3:3" x14ac:dyDescent="0.35">
      <c r="C1263" s="2"/>
    </row>
    <row r="1264" spans="3:3" x14ac:dyDescent="0.35">
      <c r="C1264" s="2"/>
    </row>
    <row r="1265" spans="3:3" x14ac:dyDescent="0.35">
      <c r="C1265" s="2"/>
    </row>
    <row r="1266" spans="3:3" x14ac:dyDescent="0.35">
      <c r="C1266" s="2"/>
    </row>
    <row r="1267" spans="3:3" x14ac:dyDescent="0.35">
      <c r="C1267" s="2"/>
    </row>
    <row r="1268" spans="3:3" x14ac:dyDescent="0.35">
      <c r="C1268" s="2"/>
    </row>
    <row r="1269" spans="3:3" x14ac:dyDescent="0.35">
      <c r="C1269" s="2"/>
    </row>
    <row r="1270" spans="3:3" x14ac:dyDescent="0.35">
      <c r="C1270" s="2"/>
    </row>
    <row r="1271" spans="3:3" x14ac:dyDescent="0.35">
      <c r="C1271" s="2"/>
    </row>
    <row r="1272" spans="3:3" x14ac:dyDescent="0.35">
      <c r="C1272" s="2"/>
    </row>
    <row r="1273" spans="3:3" x14ac:dyDescent="0.35">
      <c r="C1273" s="2"/>
    </row>
    <row r="1274" spans="3:3" x14ac:dyDescent="0.35">
      <c r="C1274" s="2"/>
    </row>
    <row r="1275" spans="3:3" x14ac:dyDescent="0.35">
      <c r="C1275" s="2"/>
    </row>
    <row r="1276" spans="3:3" x14ac:dyDescent="0.35">
      <c r="C1276" s="2"/>
    </row>
    <row r="1277" spans="3:3" x14ac:dyDescent="0.35">
      <c r="C1277" s="2"/>
    </row>
    <row r="1278" spans="3:3" x14ac:dyDescent="0.35">
      <c r="C1278" s="2"/>
    </row>
    <row r="1279" spans="3:3" x14ac:dyDescent="0.35">
      <c r="C1279" s="2"/>
    </row>
    <row r="1280" spans="3:3" x14ac:dyDescent="0.35">
      <c r="C1280" s="2"/>
    </row>
    <row r="1281" spans="3:3" x14ac:dyDescent="0.35">
      <c r="C1281" s="2"/>
    </row>
    <row r="1282" spans="3:3" x14ac:dyDescent="0.35">
      <c r="C1282" s="2"/>
    </row>
    <row r="1283" spans="3:3" x14ac:dyDescent="0.35">
      <c r="C1283" s="2"/>
    </row>
    <row r="1284" spans="3:3" x14ac:dyDescent="0.35">
      <c r="C1284" s="2"/>
    </row>
    <row r="1285" spans="3:3" x14ac:dyDescent="0.35">
      <c r="C1285" s="2"/>
    </row>
    <row r="1286" spans="3:3" x14ac:dyDescent="0.35">
      <c r="C1286" s="2"/>
    </row>
    <row r="1287" spans="3:3" x14ac:dyDescent="0.35">
      <c r="C1287" s="2"/>
    </row>
    <row r="1288" spans="3:3" x14ac:dyDescent="0.35">
      <c r="C1288" s="2"/>
    </row>
    <row r="1289" spans="3:3" x14ac:dyDescent="0.35">
      <c r="C1289" s="2"/>
    </row>
    <row r="1290" spans="3:3" x14ac:dyDescent="0.35">
      <c r="C1290" s="2"/>
    </row>
    <row r="1291" spans="3:3" x14ac:dyDescent="0.35">
      <c r="C1291" s="2"/>
    </row>
    <row r="1292" spans="3:3" x14ac:dyDescent="0.35">
      <c r="C1292" s="2"/>
    </row>
    <row r="1293" spans="3:3" x14ac:dyDescent="0.35">
      <c r="C1293" s="2"/>
    </row>
    <row r="1294" spans="3:3" x14ac:dyDescent="0.35">
      <c r="C1294" s="2"/>
    </row>
    <row r="1295" spans="3:3" x14ac:dyDescent="0.35">
      <c r="C1295" s="2"/>
    </row>
    <row r="1296" spans="3:3" x14ac:dyDescent="0.35">
      <c r="C1296" s="2"/>
    </row>
    <row r="1297" spans="3:3" x14ac:dyDescent="0.35">
      <c r="C1297" s="2"/>
    </row>
    <row r="1298" spans="3:3" x14ac:dyDescent="0.35">
      <c r="C1298" s="2"/>
    </row>
    <row r="1299" spans="3:3" x14ac:dyDescent="0.35">
      <c r="C1299" s="2"/>
    </row>
    <row r="1300" spans="3:3" x14ac:dyDescent="0.35">
      <c r="C1300" s="2"/>
    </row>
    <row r="1301" spans="3:3" x14ac:dyDescent="0.35">
      <c r="C1301" s="2"/>
    </row>
    <row r="1302" spans="3:3" x14ac:dyDescent="0.35">
      <c r="C1302" s="2"/>
    </row>
    <row r="1303" spans="3:3" x14ac:dyDescent="0.35">
      <c r="C1303" s="2"/>
    </row>
    <row r="1304" spans="3:3" x14ac:dyDescent="0.35">
      <c r="C1304" s="2"/>
    </row>
    <row r="1305" spans="3:3" x14ac:dyDescent="0.35">
      <c r="C1305" s="2"/>
    </row>
    <row r="1306" spans="3:3" x14ac:dyDescent="0.35">
      <c r="C1306" s="2"/>
    </row>
    <row r="1307" spans="3:3" x14ac:dyDescent="0.35">
      <c r="C1307" s="2"/>
    </row>
    <row r="1308" spans="3:3" x14ac:dyDescent="0.35">
      <c r="C1308" s="2"/>
    </row>
    <row r="1309" spans="3:3" x14ac:dyDescent="0.35">
      <c r="C1309" s="2"/>
    </row>
    <row r="1310" spans="3:3" x14ac:dyDescent="0.35">
      <c r="C1310" s="2"/>
    </row>
    <row r="1311" spans="3:3" x14ac:dyDescent="0.35">
      <c r="C1311" s="2"/>
    </row>
    <row r="1312" spans="3:3" x14ac:dyDescent="0.35">
      <c r="C1312" s="2"/>
    </row>
    <row r="1313" spans="3:3" x14ac:dyDescent="0.35">
      <c r="C1313" s="2"/>
    </row>
    <row r="1314" spans="3:3" x14ac:dyDescent="0.35">
      <c r="C1314" s="2"/>
    </row>
    <row r="1315" spans="3:3" x14ac:dyDescent="0.35">
      <c r="C1315" s="2"/>
    </row>
    <row r="1316" spans="3:3" x14ac:dyDescent="0.35">
      <c r="C1316" s="2"/>
    </row>
    <row r="1317" spans="3:3" x14ac:dyDescent="0.35">
      <c r="C1317" s="2"/>
    </row>
    <row r="1318" spans="3:3" x14ac:dyDescent="0.35">
      <c r="C1318" s="2"/>
    </row>
    <row r="1319" spans="3:3" x14ac:dyDescent="0.35">
      <c r="C1319" s="2"/>
    </row>
    <row r="1320" spans="3:3" x14ac:dyDescent="0.35">
      <c r="C1320" s="2"/>
    </row>
    <row r="1321" spans="3:3" x14ac:dyDescent="0.35">
      <c r="C1321" s="2"/>
    </row>
    <row r="1322" spans="3:3" x14ac:dyDescent="0.35">
      <c r="C1322" s="2"/>
    </row>
    <row r="1323" spans="3:3" x14ac:dyDescent="0.35">
      <c r="C1323" s="2"/>
    </row>
    <row r="1324" spans="3:3" x14ac:dyDescent="0.35">
      <c r="C1324" s="2"/>
    </row>
    <row r="1325" spans="3:3" x14ac:dyDescent="0.35">
      <c r="C1325" s="2"/>
    </row>
    <row r="1326" spans="3:3" x14ac:dyDescent="0.35">
      <c r="C1326" s="2"/>
    </row>
    <row r="1327" spans="3:3" x14ac:dyDescent="0.35">
      <c r="C1327" s="2"/>
    </row>
    <row r="1328" spans="3:3" x14ac:dyDescent="0.35">
      <c r="C1328" s="2"/>
    </row>
    <row r="1329" spans="3:3" x14ac:dyDescent="0.35">
      <c r="C1329" s="2"/>
    </row>
    <row r="1330" spans="3:3" x14ac:dyDescent="0.35">
      <c r="C1330" s="2"/>
    </row>
    <row r="1331" spans="3:3" x14ac:dyDescent="0.35">
      <c r="C1331" s="2"/>
    </row>
    <row r="1332" spans="3:3" x14ac:dyDescent="0.35">
      <c r="C1332" s="2"/>
    </row>
    <row r="1333" spans="3:3" x14ac:dyDescent="0.35">
      <c r="C1333" s="2"/>
    </row>
    <row r="1334" spans="3:3" x14ac:dyDescent="0.35">
      <c r="C1334" s="2"/>
    </row>
    <row r="1335" spans="3:3" x14ac:dyDescent="0.35">
      <c r="C1335" s="2"/>
    </row>
    <row r="1336" spans="3:3" x14ac:dyDescent="0.35">
      <c r="C1336" s="2"/>
    </row>
    <row r="1337" spans="3:3" x14ac:dyDescent="0.35">
      <c r="C1337" s="2"/>
    </row>
    <row r="1338" spans="3:3" x14ac:dyDescent="0.35">
      <c r="C1338" s="2"/>
    </row>
    <row r="1339" spans="3:3" x14ac:dyDescent="0.35">
      <c r="C1339" s="2"/>
    </row>
    <row r="1340" spans="3:3" x14ac:dyDescent="0.35">
      <c r="C1340" s="2"/>
    </row>
    <row r="1341" spans="3:3" x14ac:dyDescent="0.35">
      <c r="C1341" s="2"/>
    </row>
    <row r="1342" spans="3:3" x14ac:dyDescent="0.35">
      <c r="C1342" s="2"/>
    </row>
    <row r="1343" spans="3:3" x14ac:dyDescent="0.35">
      <c r="C1343" s="2"/>
    </row>
    <row r="1344" spans="3:3" x14ac:dyDescent="0.35">
      <c r="C1344" s="2"/>
    </row>
    <row r="1345" spans="3:3" x14ac:dyDescent="0.35">
      <c r="C1345" s="2"/>
    </row>
    <row r="1346" spans="3:3" x14ac:dyDescent="0.35">
      <c r="C1346" s="2"/>
    </row>
    <row r="1347" spans="3:3" x14ac:dyDescent="0.35">
      <c r="C1347" s="2"/>
    </row>
    <row r="1348" spans="3:3" x14ac:dyDescent="0.35">
      <c r="C1348" s="2"/>
    </row>
    <row r="1349" spans="3:3" x14ac:dyDescent="0.35">
      <c r="C1349" s="2"/>
    </row>
    <row r="1350" spans="3:3" x14ac:dyDescent="0.35">
      <c r="C1350" s="2"/>
    </row>
    <row r="1351" spans="3:3" x14ac:dyDescent="0.35">
      <c r="C1351" s="2"/>
    </row>
    <row r="1352" spans="3:3" x14ac:dyDescent="0.35">
      <c r="C1352" s="2"/>
    </row>
    <row r="1353" spans="3:3" x14ac:dyDescent="0.35">
      <c r="C1353" s="2"/>
    </row>
    <row r="1354" spans="3:3" x14ac:dyDescent="0.35">
      <c r="C1354" s="2"/>
    </row>
    <row r="1355" spans="3:3" x14ac:dyDescent="0.35">
      <c r="C1355" s="2"/>
    </row>
    <row r="1356" spans="3:3" x14ac:dyDescent="0.35">
      <c r="C1356" s="2"/>
    </row>
    <row r="1357" spans="3:3" x14ac:dyDescent="0.35">
      <c r="C1357" s="2"/>
    </row>
    <row r="1358" spans="3:3" x14ac:dyDescent="0.35">
      <c r="C1358" s="2"/>
    </row>
    <row r="1359" spans="3:3" x14ac:dyDescent="0.35">
      <c r="C1359" s="2"/>
    </row>
    <row r="1360" spans="3:3" x14ac:dyDescent="0.35">
      <c r="C1360" s="2"/>
    </row>
    <row r="1361" spans="3:3" x14ac:dyDescent="0.35">
      <c r="C1361" s="2"/>
    </row>
    <row r="1362" spans="3:3" x14ac:dyDescent="0.35">
      <c r="C1362" s="2"/>
    </row>
    <row r="1363" spans="3:3" x14ac:dyDescent="0.35">
      <c r="C1363" s="2"/>
    </row>
    <row r="1364" spans="3:3" x14ac:dyDescent="0.35">
      <c r="C1364" s="2"/>
    </row>
    <row r="1365" spans="3:3" x14ac:dyDescent="0.35">
      <c r="C1365" s="2"/>
    </row>
    <row r="1366" spans="3:3" x14ac:dyDescent="0.35">
      <c r="C1366" s="2"/>
    </row>
    <row r="1367" spans="3:3" x14ac:dyDescent="0.35">
      <c r="C1367" s="2"/>
    </row>
    <row r="1368" spans="3:3" x14ac:dyDescent="0.35">
      <c r="C1368" s="2"/>
    </row>
    <row r="1369" spans="3:3" x14ac:dyDescent="0.35">
      <c r="C1369" s="2"/>
    </row>
    <row r="1370" spans="3:3" x14ac:dyDescent="0.35">
      <c r="C1370" s="2"/>
    </row>
    <row r="1371" spans="3:3" x14ac:dyDescent="0.35">
      <c r="C1371" s="2"/>
    </row>
    <row r="1372" spans="3:3" x14ac:dyDescent="0.35">
      <c r="C1372" s="2"/>
    </row>
    <row r="1373" spans="3:3" x14ac:dyDescent="0.35">
      <c r="C1373" s="2"/>
    </row>
    <row r="1374" spans="3:3" x14ac:dyDescent="0.35">
      <c r="C1374" s="2"/>
    </row>
    <row r="1375" spans="3:3" x14ac:dyDescent="0.35">
      <c r="C1375" s="2"/>
    </row>
    <row r="1376" spans="3:3" x14ac:dyDescent="0.35">
      <c r="C1376" s="2"/>
    </row>
    <row r="1377" spans="3:3" x14ac:dyDescent="0.35">
      <c r="C1377" s="2"/>
    </row>
    <row r="1378" spans="3:3" x14ac:dyDescent="0.35">
      <c r="C1378" s="2"/>
    </row>
    <row r="1379" spans="3:3" x14ac:dyDescent="0.35">
      <c r="C1379" s="2"/>
    </row>
    <row r="1380" spans="3:3" x14ac:dyDescent="0.35">
      <c r="C1380" s="2"/>
    </row>
    <row r="1381" spans="3:3" x14ac:dyDescent="0.35">
      <c r="C1381" s="2"/>
    </row>
    <row r="1382" spans="3:3" x14ac:dyDescent="0.35">
      <c r="C1382" s="2"/>
    </row>
    <row r="1383" spans="3:3" x14ac:dyDescent="0.35">
      <c r="C1383" s="2"/>
    </row>
    <row r="1384" spans="3:3" x14ac:dyDescent="0.35">
      <c r="C1384" s="2"/>
    </row>
    <row r="1385" spans="3:3" x14ac:dyDescent="0.35">
      <c r="C1385" s="2"/>
    </row>
    <row r="1386" spans="3:3" x14ac:dyDescent="0.35">
      <c r="C1386" s="2"/>
    </row>
    <row r="1387" spans="3:3" x14ac:dyDescent="0.35">
      <c r="C1387" s="2"/>
    </row>
    <row r="1388" spans="3:3" x14ac:dyDescent="0.35">
      <c r="C1388" s="2"/>
    </row>
    <row r="1389" spans="3:3" x14ac:dyDescent="0.35">
      <c r="C1389" s="2"/>
    </row>
    <row r="1390" spans="3:3" x14ac:dyDescent="0.35">
      <c r="C1390" s="2"/>
    </row>
    <row r="1391" spans="3:3" x14ac:dyDescent="0.35">
      <c r="C1391" s="2"/>
    </row>
    <row r="1392" spans="3:3" x14ac:dyDescent="0.35">
      <c r="C1392" s="2"/>
    </row>
    <row r="1393" spans="3:3" x14ac:dyDescent="0.35">
      <c r="C1393" s="2"/>
    </row>
    <row r="1394" spans="3:3" x14ac:dyDescent="0.35">
      <c r="C1394" s="2"/>
    </row>
    <row r="1395" spans="3:3" x14ac:dyDescent="0.35">
      <c r="C1395" s="2"/>
    </row>
    <row r="1396" spans="3:3" x14ac:dyDescent="0.35">
      <c r="C1396" s="2"/>
    </row>
    <row r="1397" spans="3:3" x14ac:dyDescent="0.35">
      <c r="C1397" s="2"/>
    </row>
    <row r="1398" spans="3:3" x14ac:dyDescent="0.35">
      <c r="C1398" s="2"/>
    </row>
    <row r="1399" spans="3:3" x14ac:dyDescent="0.35">
      <c r="C1399" s="2"/>
    </row>
    <row r="1400" spans="3:3" x14ac:dyDescent="0.35">
      <c r="C1400" s="2"/>
    </row>
    <row r="1401" spans="3:3" x14ac:dyDescent="0.35">
      <c r="C1401" s="2"/>
    </row>
    <row r="1402" spans="3:3" x14ac:dyDescent="0.35">
      <c r="C1402" s="2"/>
    </row>
    <row r="1403" spans="3:3" x14ac:dyDescent="0.35">
      <c r="C1403" s="2"/>
    </row>
    <row r="1404" spans="3:3" x14ac:dyDescent="0.35">
      <c r="C1404" s="2"/>
    </row>
    <row r="1405" spans="3:3" x14ac:dyDescent="0.35">
      <c r="C1405" s="2"/>
    </row>
    <row r="1406" spans="3:3" x14ac:dyDescent="0.35">
      <c r="C1406" s="2"/>
    </row>
    <row r="1407" spans="3:3" x14ac:dyDescent="0.35">
      <c r="C1407" s="2"/>
    </row>
    <row r="1408" spans="3:3" x14ac:dyDescent="0.35">
      <c r="C1408" s="2"/>
    </row>
    <row r="1409" spans="3:3" x14ac:dyDescent="0.35">
      <c r="C1409" s="2"/>
    </row>
    <row r="1410" spans="3:3" x14ac:dyDescent="0.35">
      <c r="C1410" s="2"/>
    </row>
    <row r="1411" spans="3:3" x14ac:dyDescent="0.35">
      <c r="C1411" s="2"/>
    </row>
    <row r="1412" spans="3:3" x14ac:dyDescent="0.35">
      <c r="C1412" s="2"/>
    </row>
    <row r="1413" spans="3:3" x14ac:dyDescent="0.35">
      <c r="C1413" s="2"/>
    </row>
    <row r="1414" spans="3:3" x14ac:dyDescent="0.35">
      <c r="C1414" s="2"/>
    </row>
    <row r="1415" spans="3:3" x14ac:dyDescent="0.35">
      <c r="C1415" s="2"/>
    </row>
    <row r="1416" spans="3:3" x14ac:dyDescent="0.35">
      <c r="C1416" s="2"/>
    </row>
    <row r="1417" spans="3:3" x14ac:dyDescent="0.35">
      <c r="C1417" s="2"/>
    </row>
    <row r="1418" spans="3:3" x14ac:dyDescent="0.35">
      <c r="C1418" s="2"/>
    </row>
    <row r="1419" spans="3:3" x14ac:dyDescent="0.35">
      <c r="C1419" s="2"/>
    </row>
    <row r="1420" spans="3:3" x14ac:dyDescent="0.35">
      <c r="C1420" s="2"/>
    </row>
    <row r="1421" spans="3:3" x14ac:dyDescent="0.35">
      <c r="C1421" s="2"/>
    </row>
    <row r="1422" spans="3:3" x14ac:dyDescent="0.35">
      <c r="C1422" s="2"/>
    </row>
    <row r="1423" spans="3:3" x14ac:dyDescent="0.35">
      <c r="C1423" s="2"/>
    </row>
    <row r="1424" spans="3:3" x14ac:dyDescent="0.35">
      <c r="C1424" s="2"/>
    </row>
    <row r="1425" spans="3:3" x14ac:dyDescent="0.35">
      <c r="C1425" s="2"/>
    </row>
    <row r="1426" spans="3:3" x14ac:dyDescent="0.35">
      <c r="C1426" s="2"/>
    </row>
    <row r="1427" spans="3:3" x14ac:dyDescent="0.35">
      <c r="C1427" s="2"/>
    </row>
    <row r="1428" spans="3:3" x14ac:dyDescent="0.35">
      <c r="C1428" s="2"/>
    </row>
    <row r="1429" spans="3:3" x14ac:dyDescent="0.35">
      <c r="C1429" s="2"/>
    </row>
    <row r="1430" spans="3:3" x14ac:dyDescent="0.35">
      <c r="C1430" s="2"/>
    </row>
    <row r="1431" spans="3:3" x14ac:dyDescent="0.35">
      <c r="C1431" s="2"/>
    </row>
    <row r="1432" spans="3:3" x14ac:dyDescent="0.35">
      <c r="C1432" s="2"/>
    </row>
    <row r="1433" spans="3:3" x14ac:dyDescent="0.35">
      <c r="C1433" s="2"/>
    </row>
    <row r="1434" spans="3:3" x14ac:dyDescent="0.35">
      <c r="C1434" s="2"/>
    </row>
    <row r="1435" spans="3:3" x14ac:dyDescent="0.35">
      <c r="C1435" s="2"/>
    </row>
    <row r="1436" spans="3:3" x14ac:dyDescent="0.35">
      <c r="C1436" s="2"/>
    </row>
    <row r="1437" spans="3:3" x14ac:dyDescent="0.35">
      <c r="C1437" s="2"/>
    </row>
    <row r="1438" spans="3:3" x14ac:dyDescent="0.35">
      <c r="C1438" s="2"/>
    </row>
    <row r="1439" spans="3:3" x14ac:dyDescent="0.35">
      <c r="C1439" s="2"/>
    </row>
    <row r="1440" spans="3:3" x14ac:dyDescent="0.35">
      <c r="C1440" s="2"/>
    </row>
    <row r="1441" spans="3:3" x14ac:dyDescent="0.35">
      <c r="C1441" s="2"/>
    </row>
    <row r="1442" spans="3:3" x14ac:dyDescent="0.35">
      <c r="C1442" s="2"/>
    </row>
    <row r="1443" spans="3:3" x14ac:dyDescent="0.35">
      <c r="C1443" s="2"/>
    </row>
    <row r="1444" spans="3:3" x14ac:dyDescent="0.35">
      <c r="C1444" s="2"/>
    </row>
    <row r="1445" spans="3:3" x14ac:dyDescent="0.35">
      <c r="C1445" s="2"/>
    </row>
    <row r="1446" spans="3:3" x14ac:dyDescent="0.35">
      <c r="C1446" s="2"/>
    </row>
    <row r="1447" spans="3:3" x14ac:dyDescent="0.35">
      <c r="C1447" s="2"/>
    </row>
    <row r="1448" spans="3:3" x14ac:dyDescent="0.35">
      <c r="C1448" s="2"/>
    </row>
    <row r="1449" spans="3:3" x14ac:dyDescent="0.35">
      <c r="C1449" s="2"/>
    </row>
    <row r="1450" spans="3:3" x14ac:dyDescent="0.35">
      <c r="C1450" s="2"/>
    </row>
    <row r="1451" spans="3:3" x14ac:dyDescent="0.35">
      <c r="C1451" s="2"/>
    </row>
    <row r="1452" spans="3:3" x14ac:dyDescent="0.35">
      <c r="C1452" s="2"/>
    </row>
    <row r="1453" spans="3:3" x14ac:dyDescent="0.35">
      <c r="C1453" s="2"/>
    </row>
    <row r="1454" spans="3:3" x14ac:dyDescent="0.35">
      <c r="C1454" s="2"/>
    </row>
    <row r="1455" spans="3:3" x14ac:dyDescent="0.35">
      <c r="C1455" s="2"/>
    </row>
    <row r="1456" spans="3:3" x14ac:dyDescent="0.35">
      <c r="C1456" s="2"/>
    </row>
    <row r="1457" spans="3:3" x14ac:dyDescent="0.35">
      <c r="C1457" s="2"/>
    </row>
    <row r="1458" spans="3:3" x14ac:dyDescent="0.35">
      <c r="C1458" s="2"/>
    </row>
    <row r="1459" spans="3:3" x14ac:dyDescent="0.35">
      <c r="C1459" s="2"/>
    </row>
    <row r="1460" spans="3:3" x14ac:dyDescent="0.35">
      <c r="C1460" s="2"/>
    </row>
    <row r="1461" spans="3:3" x14ac:dyDescent="0.35">
      <c r="C1461" s="2"/>
    </row>
    <row r="1462" spans="3:3" x14ac:dyDescent="0.35">
      <c r="C1462" s="2"/>
    </row>
    <row r="1463" spans="3:3" x14ac:dyDescent="0.35">
      <c r="C1463" s="2"/>
    </row>
    <row r="1464" spans="3:3" x14ac:dyDescent="0.35">
      <c r="C1464" s="2"/>
    </row>
    <row r="1465" spans="3:3" x14ac:dyDescent="0.35">
      <c r="C1465" s="2"/>
    </row>
    <row r="1466" spans="3:3" x14ac:dyDescent="0.35">
      <c r="C1466" s="2"/>
    </row>
    <row r="1467" spans="3:3" x14ac:dyDescent="0.35">
      <c r="C1467" s="2"/>
    </row>
    <row r="1468" spans="3:3" x14ac:dyDescent="0.35">
      <c r="C1468" s="2"/>
    </row>
    <row r="1469" spans="3:3" x14ac:dyDescent="0.35">
      <c r="C1469" s="2"/>
    </row>
    <row r="1470" spans="3:3" x14ac:dyDescent="0.35">
      <c r="C1470" s="2"/>
    </row>
    <row r="1471" spans="3:3" x14ac:dyDescent="0.35">
      <c r="C1471" s="2"/>
    </row>
    <row r="1472" spans="3:3" x14ac:dyDescent="0.35">
      <c r="C1472" s="2"/>
    </row>
    <row r="1473" spans="3:3" x14ac:dyDescent="0.35">
      <c r="C1473" s="2"/>
    </row>
    <row r="1474" spans="3:3" x14ac:dyDescent="0.35">
      <c r="C1474" s="2"/>
    </row>
    <row r="1475" spans="3:3" x14ac:dyDescent="0.35">
      <c r="C1475" s="2"/>
    </row>
    <row r="1476" spans="3:3" x14ac:dyDescent="0.35">
      <c r="C1476" s="2"/>
    </row>
    <row r="1477" spans="3:3" x14ac:dyDescent="0.35">
      <c r="C1477" s="2"/>
    </row>
    <row r="1478" spans="3:3" x14ac:dyDescent="0.35">
      <c r="C1478" s="2"/>
    </row>
    <row r="1479" spans="3:3" x14ac:dyDescent="0.35">
      <c r="C1479" s="2"/>
    </row>
    <row r="1480" spans="3:3" x14ac:dyDescent="0.35">
      <c r="C1480" s="2"/>
    </row>
    <row r="1481" spans="3:3" x14ac:dyDescent="0.35">
      <c r="C1481" s="2"/>
    </row>
    <row r="1482" spans="3:3" x14ac:dyDescent="0.35">
      <c r="C1482" s="2"/>
    </row>
    <row r="1483" spans="3:3" x14ac:dyDescent="0.35">
      <c r="C1483" s="2"/>
    </row>
    <row r="1484" spans="3:3" x14ac:dyDescent="0.35">
      <c r="C1484" s="2"/>
    </row>
    <row r="1485" spans="3:3" x14ac:dyDescent="0.35">
      <c r="C1485" s="2"/>
    </row>
    <row r="1486" spans="3:3" x14ac:dyDescent="0.35">
      <c r="C1486" s="2"/>
    </row>
    <row r="1487" spans="3:3" x14ac:dyDescent="0.35">
      <c r="C1487" s="2"/>
    </row>
    <row r="1488" spans="3:3" x14ac:dyDescent="0.35">
      <c r="C1488" s="2"/>
    </row>
    <row r="1489" spans="3:3" x14ac:dyDescent="0.35">
      <c r="C1489" s="2"/>
    </row>
    <row r="1490" spans="3:3" x14ac:dyDescent="0.35">
      <c r="C1490" s="2"/>
    </row>
    <row r="1491" spans="3:3" x14ac:dyDescent="0.35">
      <c r="C1491" s="2"/>
    </row>
    <row r="1492" spans="3:3" x14ac:dyDescent="0.35">
      <c r="C1492" s="2"/>
    </row>
    <row r="1493" spans="3:3" x14ac:dyDescent="0.35">
      <c r="C1493" s="2"/>
    </row>
    <row r="1494" spans="3:3" x14ac:dyDescent="0.35">
      <c r="C1494" s="2"/>
    </row>
    <row r="1495" spans="3:3" x14ac:dyDescent="0.35">
      <c r="C1495" s="2"/>
    </row>
    <row r="1496" spans="3:3" x14ac:dyDescent="0.35">
      <c r="C1496" s="2"/>
    </row>
    <row r="1497" spans="3:3" x14ac:dyDescent="0.35">
      <c r="C1497" s="2"/>
    </row>
    <row r="1498" spans="3:3" x14ac:dyDescent="0.35">
      <c r="C1498" s="2"/>
    </row>
    <row r="1499" spans="3:3" x14ac:dyDescent="0.35">
      <c r="C1499" s="2"/>
    </row>
    <row r="1500" spans="3:3" x14ac:dyDescent="0.35">
      <c r="C1500" s="2"/>
    </row>
    <row r="1501" spans="3:3" x14ac:dyDescent="0.35">
      <c r="C1501" s="2"/>
    </row>
    <row r="1502" spans="3:3" x14ac:dyDescent="0.35">
      <c r="C1502" s="2"/>
    </row>
    <row r="1503" spans="3:3" x14ac:dyDescent="0.35">
      <c r="C1503" s="2"/>
    </row>
    <row r="1504" spans="3:3" x14ac:dyDescent="0.35">
      <c r="C1504" s="2"/>
    </row>
    <row r="1505" spans="3:3" x14ac:dyDescent="0.35">
      <c r="C1505" s="2"/>
    </row>
    <row r="1506" spans="3:3" x14ac:dyDescent="0.35">
      <c r="C1506" s="2"/>
    </row>
    <row r="1507" spans="3:3" x14ac:dyDescent="0.35">
      <c r="C1507" s="2"/>
    </row>
    <row r="1508" spans="3:3" x14ac:dyDescent="0.35">
      <c r="C1508" s="2"/>
    </row>
    <row r="1509" spans="3:3" x14ac:dyDescent="0.35">
      <c r="C1509" s="2"/>
    </row>
    <row r="1510" spans="3:3" x14ac:dyDescent="0.35">
      <c r="C1510" s="2"/>
    </row>
    <row r="1511" spans="3:3" x14ac:dyDescent="0.35">
      <c r="C1511" s="2"/>
    </row>
    <row r="1512" spans="3:3" x14ac:dyDescent="0.35">
      <c r="C1512" s="2"/>
    </row>
    <row r="1513" spans="3:3" x14ac:dyDescent="0.35">
      <c r="C1513" s="2"/>
    </row>
    <row r="1514" spans="3:3" x14ac:dyDescent="0.35">
      <c r="C1514" s="2"/>
    </row>
    <row r="1515" spans="3:3" x14ac:dyDescent="0.35">
      <c r="C1515" s="2"/>
    </row>
    <row r="1516" spans="3:3" x14ac:dyDescent="0.35">
      <c r="C1516" s="2"/>
    </row>
    <row r="1517" spans="3:3" x14ac:dyDescent="0.35">
      <c r="C1517" s="2"/>
    </row>
    <row r="1518" spans="3:3" x14ac:dyDescent="0.35">
      <c r="C1518" s="2"/>
    </row>
    <row r="1519" spans="3:3" x14ac:dyDescent="0.35">
      <c r="C1519" s="2"/>
    </row>
    <row r="1520" spans="3:3" x14ac:dyDescent="0.35">
      <c r="C1520" s="2"/>
    </row>
    <row r="1521" spans="3:3" x14ac:dyDescent="0.35">
      <c r="C1521" s="2"/>
    </row>
    <row r="1522" spans="3:3" x14ac:dyDescent="0.35">
      <c r="C1522" s="2"/>
    </row>
    <row r="1523" spans="3:3" x14ac:dyDescent="0.35">
      <c r="C1523" s="2"/>
    </row>
    <row r="1524" spans="3:3" x14ac:dyDescent="0.35">
      <c r="C1524" s="2"/>
    </row>
    <row r="1525" spans="3:3" x14ac:dyDescent="0.35">
      <c r="C1525" s="2"/>
    </row>
    <row r="1526" spans="3:3" x14ac:dyDescent="0.35">
      <c r="C1526" s="2"/>
    </row>
    <row r="1527" spans="3:3" x14ac:dyDescent="0.35">
      <c r="C1527" s="2"/>
    </row>
    <row r="1528" spans="3:3" x14ac:dyDescent="0.35">
      <c r="C1528" s="2"/>
    </row>
    <row r="1529" spans="3:3" x14ac:dyDescent="0.35">
      <c r="C1529" s="2"/>
    </row>
    <row r="1530" spans="3:3" x14ac:dyDescent="0.35">
      <c r="C1530" s="2"/>
    </row>
    <row r="1531" spans="3:3" x14ac:dyDescent="0.35">
      <c r="C1531" s="2"/>
    </row>
    <row r="1532" spans="3:3" x14ac:dyDescent="0.35">
      <c r="C1532" s="2"/>
    </row>
    <row r="1533" spans="3:3" x14ac:dyDescent="0.35">
      <c r="C1533" s="2"/>
    </row>
    <row r="1534" spans="3:3" x14ac:dyDescent="0.35">
      <c r="C1534" s="2"/>
    </row>
    <row r="1535" spans="3:3" x14ac:dyDescent="0.35">
      <c r="C1535" s="2"/>
    </row>
    <row r="1536" spans="3:3" x14ac:dyDescent="0.35">
      <c r="C1536" s="2"/>
    </row>
    <row r="1537" spans="3:3" x14ac:dyDescent="0.35">
      <c r="C1537" s="2"/>
    </row>
    <row r="1538" spans="3:3" x14ac:dyDescent="0.35">
      <c r="C1538" s="2"/>
    </row>
    <row r="1539" spans="3:3" x14ac:dyDescent="0.35">
      <c r="C1539" s="2"/>
    </row>
    <row r="1540" spans="3:3" x14ac:dyDescent="0.35">
      <c r="C1540" s="2"/>
    </row>
    <row r="1541" spans="3:3" x14ac:dyDescent="0.35">
      <c r="C1541" s="2"/>
    </row>
    <row r="1542" spans="3:3" x14ac:dyDescent="0.35">
      <c r="C1542" s="2"/>
    </row>
    <row r="1543" spans="3:3" x14ac:dyDescent="0.35">
      <c r="C1543" s="2"/>
    </row>
    <row r="1544" spans="3:3" x14ac:dyDescent="0.35">
      <c r="C1544" s="2"/>
    </row>
    <row r="1545" spans="3:3" x14ac:dyDescent="0.35">
      <c r="C1545" s="2"/>
    </row>
    <row r="1546" spans="3:3" x14ac:dyDescent="0.35">
      <c r="C1546" s="2"/>
    </row>
    <row r="1547" spans="3:3" x14ac:dyDescent="0.35">
      <c r="C1547" s="2"/>
    </row>
    <row r="1548" spans="3:3" x14ac:dyDescent="0.35">
      <c r="C1548" s="2"/>
    </row>
    <row r="1549" spans="3:3" x14ac:dyDescent="0.35">
      <c r="C1549" s="2"/>
    </row>
    <row r="1550" spans="3:3" x14ac:dyDescent="0.35">
      <c r="C1550" s="2"/>
    </row>
    <row r="1551" spans="3:3" x14ac:dyDescent="0.35">
      <c r="C1551" s="2"/>
    </row>
    <row r="1552" spans="3:3" x14ac:dyDescent="0.35">
      <c r="C1552" s="2"/>
    </row>
    <row r="1553" spans="3:3" x14ac:dyDescent="0.35">
      <c r="C1553" s="2"/>
    </row>
    <row r="1554" spans="3:3" x14ac:dyDescent="0.35">
      <c r="C1554" s="2"/>
    </row>
    <row r="1555" spans="3:3" x14ac:dyDescent="0.35">
      <c r="C1555" s="2"/>
    </row>
    <row r="1556" spans="3:3" x14ac:dyDescent="0.35">
      <c r="C1556" s="2"/>
    </row>
    <row r="1557" spans="3:3" x14ac:dyDescent="0.35">
      <c r="C1557" s="2"/>
    </row>
    <row r="1558" spans="3:3" x14ac:dyDescent="0.35">
      <c r="C1558" s="2"/>
    </row>
    <row r="1559" spans="3:3" x14ac:dyDescent="0.35">
      <c r="C1559" s="2"/>
    </row>
    <row r="1560" spans="3:3" x14ac:dyDescent="0.35">
      <c r="C1560" s="2"/>
    </row>
    <row r="1561" spans="3:3" x14ac:dyDescent="0.35">
      <c r="C1561" s="2"/>
    </row>
    <row r="1562" spans="3:3" x14ac:dyDescent="0.35">
      <c r="C1562" s="2"/>
    </row>
    <row r="1563" spans="3:3" x14ac:dyDescent="0.35">
      <c r="C1563" s="2"/>
    </row>
    <row r="1564" spans="3:3" x14ac:dyDescent="0.35">
      <c r="C1564" s="2"/>
    </row>
    <row r="1565" spans="3:3" x14ac:dyDescent="0.35">
      <c r="C1565" s="2"/>
    </row>
    <row r="1566" spans="3:3" x14ac:dyDescent="0.35">
      <c r="C1566" s="2"/>
    </row>
    <row r="1567" spans="3:3" x14ac:dyDescent="0.35">
      <c r="C1567" s="2"/>
    </row>
    <row r="1568" spans="3:3" x14ac:dyDescent="0.35">
      <c r="C1568" s="2"/>
    </row>
    <row r="1569" spans="3:3" x14ac:dyDescent="0.35">
      <c r="C1569" s="2"/>
    </row>
    <row r="1570" spans="3:3" x14ac:dyDescent="0.35">
      <c r="C1570" s="2"/>
    </row>
    <row r="1571" spans="3:3" x14ac:dyDescent="0.35">
      <c r="C1571" s="2"/>
    </row>
    <row r="1572" spans="3:3" x14ac:dyDescent="0.35">
      <c r="C1572" s="2"/>
    </row>
    <row r="1573" spans="3:3" x14ac:dyDescent="0.35">
      <c r="C1573" s="2"/>
    </row>
    <row r="1574" spans="3:3" x14ac:dyDescent="0.35">
      <c r="C1574" s="2"/>
    </row>
    <row r="1575" spans="3:3" x14ac:dyDescent="0.35">
      <c r="C1575" s="2"/>
    </row>
    <row r="1576" spans="3:3" x14ac:dyDescent="0.35">
      <c r="C1576" s="2"/>
    </row>
    <row r="1577" spans="3:3" x14ac:dyDescent="0.35">
      <c r="C1577" s="2"/>
    </row>
    <row r="1578" spans="3:3" x14ac:dyDescent="0.35">
      <c r="C1578" s="2"/>
    </row>
    <row r="1579" spans="3:3" x14ac:dyDescent="0.35">
      <c r="C1579" s="2"/>
    </row>
    <row r="1580" spans="3:3" x14ac:dyDescent="0.35">
      <c r="C1580" s="2"/>
    </row>
    <row r="1581" spans="3:3" x14ac:dyDescent="0.35">
      <c r="C1581" s="2"/>
    </row>
    <row r="1582" spans="3:3" x14ac:dyDescent="0.35">
      <c r="C1582" s="2"/>
    </row>
    <row r="1583" spans="3:3" x14ac:dyDescent="0.35">
      <c r="C1583" s="2"/>
    </row>
    <row r="1584" spans="3:3" x14ac:dyDescent="0.35">
      <c r="C1584" s="2"/>
    </row>
    <row r="1585" spans="3:3" x14ac:dyDescent="0.35">
      <c r="C1585" s="2"/>
    </row>
    <row r="1586" spans="3:3" x14ac:dyDescent="0.35">
      <c r="C1586" s="2"/>
    </row>
    <row r="1587" spans="3:3" x14ac:dyDescent="0.35">
      <c r="C1587" s="2"/>
    </row>
    <row r="1588" spans="3:3" x14ac:dyDescent="0.35">
      <c r="C1588" s="2"/>
    </row>
    <row r="1589" spans="3:3" x14ac:dyDescent="0.35">
      <c r="C1589" s="2"/>
    </row>
    <row r="1590" spans="3:3" x14ac:dyDescent="0.35">
      <c r="C1590" s="2"/>
    </row>
    <row r="1591" spans="3:3" x14ac:dyDescent="0.35">
      <c r="C1591" s="2"/>
    </row>
    <row r="1592" spans="3:3" x14ac:dyDescent="0.35">
      <c r="C1592" s="2"/>
    </row>
    <row r="1593" spans="3:3" x14ac:dyDescent="0.35">
      <c r="C1593" s="2"/>
    </row>
    <row r="1594" spans="3:3" x14ac:dyDescent="0.35">
      <c r="C1594" s="2"/>
    </row>
    <row r="1595" spans="3:3" x14ac:dyDescent="0.35">
      <c r="C1595" s="2"/>
    </row>
    <row r="1596" spans="3:3" x14ac:dyDescent="0.35">
      <c r="C1596" s="2"/>
    </row>
    <row r="1597" spans="3:3" x14ac:dyDescent="0.35">
      <c r="C1597" s="2"/>
    </row>
    <row r="1598" spans="3:3" x14ac:dyDescent="0.35">
      <c r="C1598" s="2"/>
    </row>
    <row r="1599" spans="3:3" x14ac:dyDescent="0.35">
      <c r="C1599" s="2"/>
    </row>
    <row r="1600" spans="3:3" x14ac:dyDescent="0.35">
      <c r="C1600" s="2"/>
    </row>
    <row r="1601" spans="3:3" x14ac:dyDescent="0.35">
      <c r="C1601" s="2"/>
    </row>
    <row r="1602" spans="3:3" x14ac:dyDescent="0.35">
      <c r="C1602" s="2"/>
    </row>
    <row r="1603" spans="3:3" x14ac:dyDescent="0.35">
      <c r="C1603" s="2"/>
    </row>
    <row r="1604" spans="3:3" x14ac:dyDescent="0.35">
      <c r="C1604" s="2"/>
    </row>
    <row r="1605" spans="3:3" x14ac:dyDescent="0.35">
      <c r="C1605" s="2"/>
    </row>
    <row r="1606" spans="3:3" x14ac:dyDescent="0.35">
      <c r="C1606" s="2"/>
    </row>
    <row r="1607" spans="3:3" x14ac:dyDescent="0.35">
      <c r="C1607" s="2"/>
    </row>
    <row r="1608" spans="3:3" x14ac:dyDescent="0.35">
      <c r="C1608" s="2"/>
    </row>
    <row r="1609" spans="3:3" x14ac:dyDescent="0.35">
      <c r="C1609" s="2"/>
    </row>
    <row r="1610" spans="3:3" x14ac:dyDescent="0.35">
      <c r="C1610" s="2"/>
    </row>
    <row r="1611" spans="3:3" x14ac:dyDescent="0.35">
      <c r="C1611" s="2"/>
    </row>
    <row r="1612" spans="3:3" x14ac:dyDescent="0.35">
      <c r="C1612" s="2"/>
    </row>
    <row r="1613" spans="3:3" x14ac:dyDescent="0.35">
      <c r="C1613" s="2"/>
    </row>
    <row r="1614" spans="3:3" x14ac:dyDescent="0.35">
      <c r="C1614" s="2"/>
    </row>
    <row r="1615" spans="3:3" x14ac:dyDescent="0.35">
      <c r="C1615" s="2"/>
    </row>
    <row r="1616" spans="3:3" x14ac:dyDescent="0.35">
      <c r="C1616" s="2"/>
    </row>
    <row r="1617" spans="3:3" x14ac:dyDescent="0.35">
      <c r="C1617" s="2"/>
    </row>
    <row r="1618" spans="3:3" x14ac:dyDescent="0.35">
      <c r="C1618" s="2"/>
    </row>
    <row r="1619" spans="3:3" x14ac:dyDescent="0.35">
      <c r="C1619" s="2"/>
    </row>
    <row r="1620" spans="3:3" x14ac:dyDescent="0.35">
      <c r="C1620" s="2"/>
    </row>
    <row r="1621" spans="3:3" x14ac:dyDescent="0.35">
      <c r="C1621" s="2"/>
    </row>
    <row r="1622" spans="3:3" x14ac:dyDescent="0.35">
      <c r="C1622" s="2"/>
    </row>
    <row r="1623" spans="3:3" x14ac:dyDescent="0.35">
      <c r="C1623" s="2"/>
    </row>
    <row r="1624" spans="3:3" x14ac:dyDescent="0.35">
      <c r="C1624" s="2"/>
    </row>
    <row r="1625" spans="3:3" x14ac:dyDescent="0.35">
      <c r="C1625" s="2"/>
    </row>
    <row r="1626" spans="3:3" x14ac:dyDescent="0.35">
      <c r="C1626" s="2"/>
    </row>
    <row r="1627" spans="3:3" x14ac:dyDescent="0.35">
      <c r="C1627" s="2"/>
    </row>
    <row r="1628" spans="3:3" x14ac:dyDescent="0.35">
      <c r="C1628" s="2"/>
    </row>
    <row r="1629" spans="3:3" x14ac:dyDescent="0.35">
      <c r="C1629" s="2"/>
    </row>
    <row r="1630" spans="3:3" x14ac:dyDescent="0.35">
      <c r="C1630" s="2"/>
    </row>
    <row r="1631" spans="3:3" x14ac:dyDescent="0.35">
      <c r="C1631" s="2"/>
    </row>
    <row r="1632" spans="3:3" x14ac:dyDescent="0.35">
      <c r="C1632" s="2"/>
    </row>
    <row r="1633" spans="3:3" x14ac:dyDescent="0.35">
      <c r="C1633" s="2"/>
    </row>
    <row r="1634" spans="3:3" x14ac:dyDescent="0.35">
      <c r="C1634" s="2"/>
    </row>
    <row r="1635" spans="3:3" x14ac:dyDescent="0.35">
      <c r="C1635" s="6"/>
    </row>
    <row r="1636" spans="3:3" x14ac:dyDescent="0.35">
      <c r="C1636" s="6"/>
    </row>
    <row r="1637" spans="3:3" x14ac:dyDescent="0.35">
      <c r="C1637" s="6"/>
    </row>
    <row r="1638" spans="3:3" x14ac:dyDescent="0.35">
      <c r="C1638" s="6"/>
    </row>
    <row r="1639" spans="3:3" x14ac:dyDescent="0.35">
      <c r="C1639" s="6"/>
    </row>
    <row r="1640" spans="3:3" x14ac:dyDescent="0.35">
      <c r="C1640" s="6"/>
    </row>
    <row r="1641" spans="3:3" x14ac:dyDescent="0.35">
      <c r="C1641" s="6"/>
    </row>
    <row r="1642" spans="3:3" x14ac:dyDescent="0.35">
      <c r="C1642" s="6"/>
    </row>
    <row r="1643" spans="3:3" x14ac:dyDescent="0.35">
      <c r="C1643" s="6"/>
    </row>
    <row r="1644" spans="3:3" x14ac:dyDescent="0.35">
      <c r="C1644" s="6"/>
    </row>
    <row r="1645" spans="3:3" x14ac:dyDescent="0.35">
      <c r="C1645" s="6"/>
    </row>
    <row r="1646" spans="3:3" x14ac:dyDescent="0.35">
      <c r="C1646" s="6"/>
    </row>
    <row r="1647" spans="3:3" x14ac:dyDescent="0.35">
      <c r="C1647" s="6"/>
    </row>
    <row r="1648" spans="3:3" x14ac:dyDescent="0.35">
      <c r="C1648" s="6"/>
    </row>
    <row r="1649" spans="3:3" x14ac:dyDescent="0.35">
      <c r="C1649" s="6"/>
    </row>
    <row r="1650" spans="3:3" x14ac:dyDescent="0.35">
      <c r="C1650" s="6"/>
    </row>
    <row r="1651" spans="3:3" x14ac:dyDescent="0.35">
      <c r="C1651" s="6"/>
    </row>
  </sheetData>
  <autoFilter ref="B2:G512" xr:uid="{A07F0C58-511A-42A3-81C3-A1CF27FD26F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Dashboard</vt:lpstr>
      <vt:lpstr>Tablas</vt: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Campos</dc:creator>
  <cp:lastModifiedBy>Pedro Angel Campos</cp:lastModifiedBy>
  <dcterms:created xsi:type="dcterms:W3CDTF">2022-05-30T17:38:18Z</dcterms:created>
  <dcterms:modified xsi:type="dcterms:W3CDTF">2025-11-30T05:56:49Z</dcterms:modified>
</cp:coreProperties>
</file>